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6"/>
  <workbookPr/>
  <mc:AlternateContent xmlns:mc="http://schemas.openxmlformats.org/markup-compatibility/2006">
    <mc:Choice Requires="x15">
      <x15ac:absPath xmlns:x15ac="http://schemas.microsoft.com/office/spreadsheetml/2010/11/ac" url="/Users/plaudati/EJCWeb/eatjerseychallenge/data/"/>
    </mc:Choice>
  </mc:AlternateContent>
  <xr:revisionPtr revIDLastSave="0" documentId="13_ncr:1_{25F4798A-1923-644E-AA52-6CA5FAF4A9E6}" xr6:coauthVersionLast="47" xr6:coauthVersionMax="47" xr10:uidLastSave="{00000000-0000-0000-0000-000000000000}"/>
  <bookViews>
    <workbookView xWindow="-8900" yWindow="-28200" windowWidth="51200" windowHeight="28200" xr2:uid="{00000000-000D-0000-FFFF-FFFF00000000}"/>
  </bookViews>
  <sheets>
    <sheet name="Data" sheetId="1" r:id="rId1"/>
    <sheet name="Summary" sheetId="2" r:id="rId2"/>
    <sheet name="Atlantic" sheetId="3" r:id="rId3"/>
    <sheet name="Bergen" sheetId="4" r:id="rId4"/>
    <sheet name="Burlington" sheetId="5" r:id="rId5"/>
    <sheet name="Camden" sheetId="6" r:id="rId6"/>
    <sheet name="Cape May" sheetId="7" r:id="rId7"/>
    <sheet name="Cumberland" sheetId="8" r:id="rId8"/>
    <sheet name="Essex" sheetId="9" r:id="rId9"/>
    <sheet name="Gloucester" sheetId="10" r:id="rId10"/>
    <sheet name="Hudson" sheetId="11" r:id="rId11"/>
    <sheet name="Hunterdon" sheetId="12" r:id="rId12"/>
    <sheet name="Mercer" sheetId="13" r:id="rId13"/>
    <sheet name="Middlesex" sheetId="14" r:id="rId14"/>
    <sheet name="Monmouth" sheetId="15" r:id="rId15"/>
    <sheet name="Morris" sheetId="16" r:id="rId16"/>
    <sheet name="Ocean" sheetId="17" r:id="rId17"/>
    <sheet name="Passaic" sheetId="18" r:id="rId18"/>
    <sheet name="Salem" sheetId="19" r:id="rId19"/>
    <sheet name="Somerset" sheetId="20" r:id="rId20"/>
    <sheet name="Sussex" sheetId="21" r:id="rId21"/>
    <sheet name="Union" sheetId="22" r:id="rId22"/>
    <sheet name="Warren" sheetId="23" r:id="rId23"/>
    <sheet name="Legend" sheetId="24" r:id="rId24"/>
  </sheets>
  <definedNames>
    <definedName name="_xlnm._FilterDatabase" localSheetId="0" hidden="1">Data!$A$2:$AU$602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3" l="1"/>
  <c r="B2" i="23"/>
  <c r="D2" i="22"/>
  <c r="B2" i="22"/>
  <c r="D2" i="21"/>
  <c r="B2" i="21"/>
  <c r="D2" i="20"/>
  <c r="B2" i="20"/>
  <c r="D2" i="19"/>
  <c r="B2" i="19"/>
  <c r="D2" i="18"/>
  <c r="B2" i="18"/>
  <c r="D2" i="17"/>
  <c r="B2" i="17"/>
  <c r="D2" i="16"/>
  <c r="B2" i="16"/>
  <c r="D2" i="15"/>
  <c r="B2" i="15"/>
  <c r="D2" i="14"/>
  <c r="B2" i="14"/>
  <c r="D2" i="13"/>
  <c r="B2" i="13"/>
  <c r="D2" i="12"/>
  <c r="B2" i="12"/>
  <c r="D2" i="11"/>
  <c r="B2" i="11"/>
  <c r="D2" i="10"/>
  <c r="B2" i="10"/>
  <c r="D2" i="9"/>
  <c r="B2" i="9"/>
  <c r="D2" i="8"/>
  <c r="B2" i="8"/>
  <c r="D2" i="7"/>
  <c r="B2" i="7"/>
  <c r="D2" i="6"/>
  <c r="B2" i="6"/>
  <c r="D2" i="5"/>
  <c r="B2" i="5"/>
  <c r="D2" i="4"/>
  <c r="B2" i="4"/>
  <c r="D2" i="3"/>
  <c r="B2" i="3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B3" i="2"/>
  <c r="A3" i="2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18" i="1"/>
  <c r="K317" i="1"/>
  <c r="K316" i="1"/>
  <c r="K315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4" i="1"/>
  <c r="K203" i="1"/>
  <c r="K202" i="1"/>
  <c r="K201" i="1"/>
  <c r="K200" i="1"/>
  <c r="K199" i="1"/>
  <c r="K196" i="1"/>
  <c r="K193" i="1"/>
  <c r="K192" i="1"/>
  <c r="K191" i="1"/>
  <c r="K190" i="1"/>
  <c r="K189" i="1"/>
  <c r="K188" i="1"/>
  <c r="K187" i="1"/>
  <c r="K186" i="1"/>
  <c r="K185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58" i="1"/>
  <c r="K157" i="1"/>
  <c r="K156" i="1"/>
  <c r="K155" i="1"/>
  <c r="K154" i="1"/>
  <c r="K153" i="1"/>
  <c r="K152" i="1"/>
  <c r="K151" i="1"/>
  <c r="K150" i="1"/>
  <c r="K149" i="1"/>
  <c r="K148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A6" i="13" s="1" a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A6" i="10" s="1" a="1"/>
  <c r="K87" i="1"/>
  <c r="K86" i="1"/>
  <c r="K85" i="1"/>
  <c r="K84" i="1"/>
  <c r="K83" i="1"/>
  <c r="K82" i="1"/>
  <c r="K81" i="1"/>
  <c r="K80" i="1"/>
  <c r="K79" i="1"/>
  <c r="K78" i="1"/>
  <c r="K77" i="1"/>
  <c r="K76" i="1"/>
  <c r="A6" i="14" s="1" a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A6" i="8" s="1" a="1"/>
  <c r="K57" i="1"/>
  <c r="K56" i="1"/>
  <c r="K55" i="1"/>
  <c r="K54" i="1"/>
  <c r="K53" i="1"/>
  <c r="K52" i="1"/>
  <c r="K51" i="1"/>
  <c r="K50" i="1"/>
  <c r="K49" i="1"/>
  <c r="A6" i="16" s="1" a="1"/>
  <c r="K48" i="1"/>
  <c r="K47" i="1"/>
  <c r="K46" i="1"/>
  <c r="A6" i="18" s="1" a="1"/>
  <c r="K45" i="1"/>
  <c r="K44" i="1"/>
  <c r="K43" i="1"/>
  <c r="K42" i="1"/>
  <c r="K41" i="1"/>
  <c r="K40" i="1"/>
  <c r="K39" i="1"/>
  <c r="K38" i="1"/>
  <c r="K37" i="1"/>
  <c r="A6" i="22" s="1" a="1"/>
  <c r="K36" i="1"/>
  <c r="K35" i="1"/>
  <c r="K34" i="1"/>
  <c r="K33" i="1"/>
  <c r="K32" i="1"/>
  <c r="K31" i="1"/>
  <c r="A6" i="9" s="1" a="1"/>
  <c r="K30" i="1"/>
  <c r="A6" i="20" s="1" a="1"/>
  <c r="K29" i="1"/>
  <c r="K28" i="1"/>
  <c r="K27" i="1"/>
  <c r="A6" i="11" s="1" a="1"/>
  <c r="K26" i="1"/>
  <c r="K25" i="1"/>
  <c r="A6" i="5" s="1" a="1"/>
  <c r="K24" i="1"/>
  <c r="K23" i="1"/>
  <c r="K22" i="1"/>
  <c r="A6" i="17" s="1" a="1"/>
  <c r="K21" i="1"/>
  <c r="K20" i="1"/>
  <c r="A6" i="7" s="1" a="1"/>
  <c r="K19" i="1"/>
  <c r="K18" i="1"/>
  <c r="A6" i="6" s="1" a="1"/>
  <c r="K17" i="1"/>
  <c r="K16" i="1"/>
  <c r="K15" i="1"/>
  <c r="K14" i="1"/>
  <c r="K13" i="1"/>
  <c r="A6" i="21" s="1" a="1"/>
  <c r="K12" i="1"/>
  <c r="K11" i="1"/>
  <c r="K10" i="1"/>
  <c r="A6" i="19" s="1" a="1"/>
  <c r="K9" i="1"/>
  <c r="K8" i="1"/>
  <c r="K7" i="1"/>
  <c r="A6" i="4" s="1" a="1"/>
  <c r="K6" i="1"/>
  <c r="A6" i="23" s="1" a="1"/>
  <c r="K5" i="1"/>
  <c r="A6" i="12" s="1" a="1"/>
  <c r="K4" i="1"/>
  <c r="A6" i="3" s="1" a="1"/>
  <c r="K3" i="1"/>
  <c r="A6" i="15" s="1" a="1"/>
  <c r="F2" i="5" l="1"/>
  <c r="F2" i="17"/>
  <c r="F2" i="14"/>
  <c r="F2" i="10"/>
  <c r="F2" i="3"/>
  <c r="F2" i="22"/>
  <c r="F2" i="12"/>
  <c r="F2" i="20"/>
  <c r="F2" i="15"/>
  <c r="F2" i="19"/>
  <c r="F2" i="11"/>
  <c r="F2" i="4"/>
  <c r="F2" i="21"/>
  <c r="F2" i="23"/>
  <c r="F2" i="13"/>
  <c r="F2" i="9"/>
  <c r="F2" i="6"/>
  <c r="F2" i="16"/>
  <c r="F2" i="7"/>
  <c r="F2" i="18"/>
  <c r="F2" i="8"/>
  <c r="D26" i="2"/>
  <c r="E26" i="2"/>
  <c r="D25" i="2"/>
  <c r="E25" i="2"/>
  <c r="D24" i="2"/>
  <c r="E24" i="2"/>
  <c r="D23" i="2"/>
  <c r="E23" i="2"/>
  <c r="E22" i="2"/>
  <c r="D22" i="2"/>
  <c r="E21" i="2"/>
  <c r="D21" i="2"/>
  <c r="D20" i="2"/>
  <c r="E20" i="2"/>
  <c r="D19" i="2"/>
  <c r="E19" i="2"/>
  <c r="D18" i="2"/>
  <c r="E18" i="2"/>
  <c r="D17" i="2"/>
  <c r="E17" i="2"/>
  <c r="E16" i="2"/>
  <c r="D16" i="2"/>
  <c r="E15" i="2"/>
  <c r="D15" i="2"/>
  <c r="D14" i="2"/>
  <c r="E14" i="2"/>
  <c r="E13" i="2"/>
  <c r="D13" i="2"/>
  <c r="E12" i="2"/>
  <c r="D12" i="2"/>
  <c r="E11" i="2"/>
  <c r="D11" i="2"/>
  <c r="E10" i="2"/>
  <c r="D10" i="2"/>
  <c r="E9" i="2"/>
  <c r="D9" i="2"/>
  <c r="D8" i="2"/>
  <c r="E8" i="2"/>
  <c r="D7" i="2"/>
  <c r="E7" i="2"/>
  <c r="D6" i="2"/>
  <c r="E6" i="2"/>
  <c r="C3" i="2"/>
  <c r="D3" i="2"/>
  <c r="B6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AU6" i="13"/>
  <c r="A7" i="13"/>
  <c r="B7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AU7" i="13"/>
  <c r="A8" i="13"/>
  <c r="B8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AU8" i="13"/>
  <c r="A9" i="13"/>
  <c r="B9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AO9" i="13"/>
  <c r="AP9" i="13"/>
  <c r="AQ9" i="13"/>
  <c r="AR9" i="13"/>
  <c r="AS9" i="13"/>
  <c r="AT9" i="13"/>
  <c r="AU9" i="13"/>
  <c r="A10" i="13"/>
  <c r="B10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AU10" i="13"/>
  <c r="A11" i="13"/>
  <c r="B11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AU11" i="13"/>
  <c r="A12" i="13"/>
  <c r="B12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AU12" i="13"/>
  <c r="A13" i="13"/>
  <c r="B13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AU13" i="13"/>
  <c r="A14" i="13"/>
  <c r="B14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15" i="13"/>
  <c r="B15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AU15" i="13"/>
  <c r="A16" i="13"/>
  <c r="B16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17" i="13"/>
  <c r="B17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6" i="13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J6" i="10"/>
  <c r="AK6" i="10"/>
  <c r="AL6" i="10"/>
  <c r="AM6" i="10"/>
  <c r="AN6" i="10"/>
  <c r="AO6" i="10"/>
  <c r="AP6" i="10"/>
  <c r="AQ6" i="10"/>
  <c r="AR6" i="10"/>
  <c r="AS6" i="10"/>
  <c r="AT6" i="10"/>
  <c r="AU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AL7" i="10"/>
  <c r="AM7" i="10"/>
  <c r="AN7" i="10"/>
  <c r="AO7" i="10"/>
  <c r="AP7" i="10"/>
  <c r="AQ7" i="10"/>
  <c r="AR7" i="10"/>
  <c r="AS7" i="10"/>
  <c r="AT7" i="10"/>
  <c r="AU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AK8" i="10"/>
  <c r="AL8" i="10"/>
  <c r="AM8" i="10"/>
  <c r="AN8" i="10"/>
  <c r="AO8" i="10"/>
  <c r="AP8" i="10"/>
  <c r="AQ8" i="10"/>
  <c r="AR8" i="10"/>
  <c r="AS8" i="10"/>
  <c r="AT8" i="10"/>
  <c r="AU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AL9" i="10"/>
  <c r="AM9" i="10"/>
  <c r="AN9" i="10"/>
  <c r="AO9" i="10"/>
  <c r="AP9" i="10"/>
  <c r="AQ9" i="10"/>
  <c r="AR9" i="10"/>
  <c r="AS9" i="10"/>
  <c r="AT9" i="10"/>
  <c r="AU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AL11" i="10"/>
  <c r="AM11" i="10"/>
  <c r="AN11" i="10"/>
  <c r="AO11" i="10"/>
  <c r="AP11" i="10"/>
  <c r="AQ11" i="10"/>
  <c r="AR11" i="10"/>
  <c r="AS11" i="10"/>
  <c r="AT11" i="10"/>
  <c r="AU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M12" i="10"/>
  <c r="AN12" i="10"/>
  <c r="AO12" i="10"/>
  <c r="AP12" i="10"/>
  <c r="AQ12" i="10"/>
  <c r="AR12" i="10"/>
  <c r="AS12" i="10"/>
  <c r="AT12" i="10"/>
  <c r="AU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AM13" i="10"/>
  <c r="AN13" i="10"/>
  <c r="AO13" i="10"/>
  <c r="AP13" i="10"/>
  <c r="AQ13" i="10"/>
  <c r="AR13" i="10"/>
  <c r="AS13" i="10"/>
  <c r="AT13" i="10"/>
  <c r="AU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AL14" i="10"/>
  <c r="AM14" i="10"/>
  <c r="AN14" i="10"/>
  <c r="AO14" i="10"/>
  <c r="AP14" i="10"/>
  <c r="AQ14" i="10"/>
  <c r="AR14" i="10"/>
  <c r="AS14" i="10"/>
  <c r="AT14" i="10"/>
  <c r="AU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AL15" i="10"/>
  <c r="AM15" i="10"/>
  <c r="AN15" i="10"/>
  <c r="AO15" i="10"/>
  <c r="AP15" i="10"/>
  <c r="AQ15" i="10"/>
  <c r="AR15" i="10"/>
  <c r="AS15" i="10"/>
  <c r="AT15" i="10"/>
  <c r="AU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M17" i="10"/>
  <c r="AN17" i="10"/>
  <c r="AO17" i="10"/>
  <c r="AP17" i="10"/>
  <c r="AQ17" i="10"/>
  <c r="AR17" i="10"/>
  <c r="AS17" i="10"/>
  <c r="AT17" i="10"/>
  <c r="AU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AU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J23" i="10"/>
  <c r="AK23" i="10"/>
  <c r="AL23" i="10"/>
  <c r="AM23" i="10"/>
  <c r="AN23" i="10"/>
  <c r="AO23" i="10"/>
  <c r="AP23" i="10"/>
  <c r="AQ23" i="10"/>
  <c r="AR23" i="10"/>
  <c r="AS23" i="10"/>
  <c r="AT23" i="10"/>
  <c r="AU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R24" i="10"/>
  <c r="AS24" i="10"/>
  <c r="AT24" i="10"/>
  <c r="AU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J25" i="10"/>
  <c r="AK25" i="10"/>
  <c r="AL25" i="10"/>
  <c r="AM25" i="10"/>
  <c r="AN25" i="10"/>
  <c r="AO25" i="10"/>
  <c r="AP25" i="10"/>
  <c r="AQ25" i="10"/>
  <c r="AR25" i="10"/>
  <c r="AS25" i="10"/>
  <c r="AT25" i="10"/>
  <c r="AU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AK26" i="10"/>
  <c r="AL26" i="10"/>
  <c r="AM26" i="10"/>
  <c r="AN26" i="10"/>
  <c r="AO26" i="10"/>
  <c r="AP26" i="10"/>
  <c r="AQ26" i="10"/>
  <c r="AR26" i="10"/>
  <c r="AS26" i="10"/>
  <c r="AT26" i="10"/>
  <c r="AU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J27" i="10"/>
  <c r="AK27" i="10"/>
  <c r="AL27" i="10"/>
  <c r="AM27" i="10"/>
  <c r="AN27" i="10"/>
  <c r="AO27" i="10"/>
  <c r="AP27" i="10"/>
  <c r="AQ27" i="10"/>
  <c r="AR27" i="10"/>
  <c r="AS27" i="10"/>
  <c r="AT27" i="10"/>
  <c r="AU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AR28" i="10"/>
  <c r="AS28" i="10"/>
  <c r="AT28" i="10"/>
  <c r="AU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6" i="10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7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8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9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10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11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12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13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14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15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16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17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18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AT18" i="14"/>
  <c r="AU18" i="14"/>
  <c r="A19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20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21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22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23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24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25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AN25" i="14"/>
  <c r="AO25" i="14"/>
  <c r="AP25" i="14"/>
  <c r="AQ25" i="14"/>
  <c r="AR25" i="14"/>
  <c r="AS25" i="14"/>
  <c r="AT25" i="14"/>
  <c r="AU25" i="14"/>
  <c r="A26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27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28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29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30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AF30" i="14"/>
  <c r="AG30" i="14"/>
  <c r="AH30" i="14"/>
  <c r="AI30" i="14"/>
  <c r="AJ30" i="14"/>
  <c r="AK30" i="14"/>
  <c r="AL30" i="14"/>
  <c r="AM30" i="14"/>
  <c r="AN30" i="14"/>
  <c r="AO30" i="14"/>
  <c r="AP30" i="14"/>
  <c r="AQ30" i="14"/>
  <c r="AR30" i="14"/>
  <c r="AS30" i="14"/>
  <c r="AT30" i="14"/>
  <c r="AU30" i="14"/>
  <c r="A6" i="14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AQ10" i="8"/>
  <c r="AR10" i="8"/>
  <c r="AS10" i="8"/>
  <c r="AT10" i="8"/>
  <c r="AU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AQ13" i="8"/>
  <c r="AR13" i="8"/>
  <c r="AS13" i="8"/>
  <c r="AT13" i="8"/>
  <c r="AU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AR14" i="8"/>
  <c r="AS14" i="8"/>
  <c r="AT14" i="8"/>
  <c r="AU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AP16" i="8"/>
  <c r="AQ16" i="8"/>
  <c r="AR16" i="8"/>
  <c r="AS16" i="8"/>
  <c r="AT16" i="8"/>
  <c r="AU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AL17" i="8"/>
  <c r="AM17" i="8"/>
  <c r="AN17" i="8"/>
  <c r="AO17" i="8"/>
  <c r="AP17" i="8"/>
  <c r="AQ17" i="8"/>
  <c r="AR17" i="8"/>
  <c r="AS17" i="8"/>
  <c r="AT17" i="8"/>
  <c r="AU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AQ18" i="8"/>
  <c r="AR18" i="8"/>
  <c r="AS18" i="8"/>
  <c r="AT18" i="8"/>
  <c r="AU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AP19" i="8"/>
  <c r="AQ19" i="8"/>
  <c r="AR19" i="8"/>
  <c r="AS19" i="8"/>
  <c r="AT19" i="8"/>
  <c r="AU19" i="8"/>
  <c r="A6" i="8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F6" i="16"/>
  <c r="AG6" i="16"/>
  <c r="AH6" i="16"/>
  <c r="AI6" i="16"/>
  <c r="AJ6" i="16"/>
  <c r="AK6" i="16"/>
  <c r="AL6" i="16"/>
  <c r="AM6" i="16"/>
  <c r="AN6" i="16"/>
  <c r="AO6" i="16"/>
  <c r="AP6" i="16"/>
  <c r="AQ6" i="16"/>
  <c r="AR6" i="16"/>
  <c r="AS6" i="16"/>
  <c r="AT6" i="16"/>
  <c r="AU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AE7" i="16"/>
  <c r="AF7" i="16"/>
  <c r="AG7" i="16"/>
  <c r="AH7" i="16"/>
  <c r="AI7" i="16"/>
  <c r="AJ7" i="16"/>
  <c r="AK7" i="16"/>
  <c r="AL7" i="16"/>
  <c r="AM7" i="16"/>
  <c r="AN7" i="16"/>
  <c r="AO7" i="16"/>
  <c r="AP7" i="16"/>
  <c r="AQ7" i="16"/>
  <c r="AR7" i="16"/>
  <c r="AS7" i="16"/>
  <c r="AT7" i="16"/>
  <c r="AU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AQ8" i="16"/>
  <c r="AR8" i="16"/>
  <c r="AS8" i="16"/>
  <c r="AT8" i="16"/>
  <c r="AU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AG9" i="16"/>
  <c r="AH9" i="16"/>
  <c r="AI9" i="16"/>
  <c r="AJ9" i="16"/>
  <c r="AK9" i="16"/>
  <c r="AL9" i="16"/>
  <c r="AM9" i="16"/>
  <c r="AN9" i="16"/>
  <c r="AO9" i="16"/>
  <c r="AP9" i="16"/>
  <c r="AQ9" i="16"/>
  <c r="AR9" i="16"/>
  <c r="AS9" i="16"/>
  <c r="AT9" i="16"/>
  <c r="AU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AG10" i="16"/>
  <c r="AH10" i="16"/>
  <c r="AI10" i="16"/>
  <c r="AJ10" i="16"/>
  <c r="AK10" i="16"/>
  <c r="AL10" i="16"/>
  <c r="AM10" i="16"/>
  <c r="AN10" i="16"/>
  <c r="AO10" i="16"/>
  <c r="AP10" i="16"/>
  <c r="AQ10" i="16"/>
  <c r="AR10" i="16"/>
  <c r="AS10" i="16"/>
  <c r="AT10" i="16"/>
  <c r="AU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AG11" i="16"/>
  <c r="AH11" i="16"/>
  <c r="AI11" i="16"/>
  <c r="AJ11" i="16"/>
  <c r="AK11" i="16"/>
  <c r="AL11" i="16"/>
  <c r="AM11" i="16"/>
  <c r="AN11" i="16"/>
  <c r="AO11" i="16"/>
  <c r="AP11" i="16"/>
  <c r="AQ11" i="16"/>
  <c r="AR11" i="16"/>
  <c r="AS11" i="16"/>
  <c r="AT11" i="16"/>
  <c r="AU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AE12" i="16"/>
  <c r="AF12" i="16"/>
  <c r="AG12" i="16"/>
  <c r="AH12" i="16"/>
  <c r="AI12" i="16"/>
  <c r="AJ12" i="16"/>
  <c r="AK12" i="16"/>
  <c r="AL12" i="16"/>
  <c r="AM12" i="16"/>
  <c r="AN12" i="16"/>
  <c r="AO12" i="16"/>
  <c r="AP12" i="16"/>
  <c r="AQ12" i="16"/>
  <c r="AR12" i="16"/>
  <c r="AS12" i="16"/>
  <c r="AT12" i="16"/>
  <c r="AU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AE13" i="16"/>
  <c r="AF13" i="16"/>
  <c r="AG13" i="16"/>
  <c r="AH13" i="16"/>
  <c r="AI13" i="16"/>
  <c r="AJ13" i="16"/>
  <c r="AK13" i="16"/>
  <c r="AL13" i="16"/>
  <c r="AM13" i="16"/>
  <c r="AN13" i="16"/>
  <c r="AO13" i="16"/>
  <c r="AP13" i="16"/>
  <c r="AQ13" i="16"/>
  <c r="AR13" i="16"/>
  <c r="AS13" i="16"/>
  <c r="AT13" i="16"/>
  <c r="AU13" i="16"/>
  <c r="A14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AG14" i="16"/>
  <c r="AH14" i="16"/>
  <c r="AI14" i="16"/>
  <c r="AJ14" i="16"/>
  <c r="AK14" i="16"/>
  <c r="AL14" i="16"/>
  <c r="AM14" i="16"/>
  <c r="AN14" i="16"/>
  <c r="AO14" i="16"/>
  <c r="AP14" i="16"/>
  <c r="AQ14" i="16"/>
  <c r="AR14" i="16"/>
  <c r="AS14" i="16"/>
  <c r="AT14" i="16"/>
  <c r="AU14" i="16"/>
  <c r="A15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AG15" i="16"/>
  <c r="AH15" i="16"/>
  <c r="AI15" i="16"/>
  <c r="AJ15" i="16"/>
  <c r="AK15" i="16"/>
  <c r="AL15" i="16"/>
  <c r="AM15" i="16"/>
  <c r="AN15" i="16"/>
  <c r="AO15" i="16"/>
  <c r="AP15" i="16"/>
  <c r="AQ15" i="16"/>
  <c r="AR15" i="16"/>
  <c r="AS15" i="16"/>
  <c r="AT15" i="16"/>
  <c r="AU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AG16" i="16"/>
  <c r="AH16" i="16"/>
  <c r="AI16" i="16"/>
  <c r="AJ16" i="16"/>
  <c r="AK16" i="16"/>
  <c r="AL16" i="16"/>
  <c r="AM16" i="16"/>
  <c r="AN16" i="16"/>
  <c r="AO16" i="16"/>
  <c r="AP16" i="16"/>
  <c r="AQ16" i="16"/>
  <c r="AR16" i="16"/>
  <c r="AS16" i="16"/>
  <c r="AT16" i="16"/>
  <c r="AU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P17" i="16"/>
  <c r="AQ17" i="16"/>
  <c r="AR17" i="16"/>
  <c r="AS17" i="16"/>
  <c r="AT17" i="16"/>
  <c r="AU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F18" i="16"/>
  <c r="AG18" i="16"/>
  <c r="AH18" i="16"/>
  <c r="AI18" i="16"/>
  <c r="AJ18" i="16"/>
  <c r="AK18" i="16"/>
  <c r="AL18" i="16"/>
  <c r="AM18" i="16"/>
  <c r="AN18" i="16"/>
  <c r="AO18" i="16"/>
  <c r="AP18" i="16"/>
  <c r="AQ18" i="16"/>
  <c r="AR18" i="16"/>
  <c r="AS18" i="16"/>
  <c r="AT18" i="16"/>
  <c r="AU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AG19" i="16"/>
  <c r="AH19" i="16"/>
  <c r="AI19" i="16"/>
  <c r="AJ19" i="16"/>
  <c r="AK19" i="16"/>
  <c r="AL19" i="16"/>
  <c r="AM19" i="16"/>
  <c r="AN19" i="16"/>
  <c r="AO19" i="16"/>
  <c r="AP19" i="16"/>
  <c r="AQ19" i="16"/>
  <c r="AR19" i="16"/>
  <c r="AS19" i="16"/>
  <c r="AT19" i="16"/>
  <c r="AU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AE20" i="16"/>
  <c r="AF20" i="16"/>
  <c r="AG20" i="16"/>
  <c r="AH20" i="16"/>
  <c r="AI20" i="16"/>
  <c r="AJ20" i="16"/>
  <c r="AK20" i="16"/>
  <c r="AL20" i="16"/>
  <c r="AM20" i="16"/>
  <c r="AN20" i="16"/>
  <c r="AO20" i="16"/>
  <c r="AP20" i="16"/>
  <c r="AQ20" i="16"/>
  <c r="AR20" i="16"/>
  <c r="AS20" i="16"/>
  <c r="AT20" i="16"/>
  <c r="AU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AG21" i="16"/>
  <c r="AH21" i="16"/>
  <c r="AI21" i="16"/>
  <c r="AJ21" i="16"/>
  <c r="AK21" i="16"/>
  <c r="AL21" i="16"/>
  <c r="AM21" i="16"/>
  <c r="AN21" i="16"/>
  <c r="AO21" i="16"/>
  <c r="AP21" i="16"/>
  <c r="AQ21" i="16"/>
  <c r="AR21" i="16"/>
  <c r="AS21" i="16"/>
  <c r="AT21" i="16"/>
  <c r="AU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AE22" i="16"/>
  <c r="AF22" i="16"/>
  <c r="AG22" i="16"/>
  <c r="AH22" i="16"/>
  <c r="AI22" i="16"/>
  <c r="AJ22" i="16"/>
  <c r="AK22" i="16"/>
  <c r="AL22" i="16"/>
  <c r="AM22" i="16"/>
  <c r="AN22" i="16"/>
  <c r="AO22" i="16"/>
  <c r="AP22" i="16"/>
  <c r="AQ22" i="16"/>
  <c r="AR22" i="16"/>
  <c r="AS22" i="16"/>
  <c r="AT22" i="16"/>
  <c r="AU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AE23" i="16"/>
  <c r="AF23" i="16"/>
  <c r="AG23" i="16"/>
  <c r="AH23" i="16"/>
  <c r="AI23" i="16"/>
  <c r="AJ23" i="16"/>
  <c r="AK23" i="16"/>
  <c r="AL23" i="16"/>
  <c r="AM23" i="16"/>
  <c r="AN23" i="16"/>
  <c r="AO23" i="16"/>
  <c r="AP23" i="16"/>
  <c r="AQ23" i="16"/>
  <c r="AR23" i="16"/>
  <c r="AS23" i="16"/>
  <c r="AT23" i="16"/>
  <c r="AU23" i="16"/>
  <c r="A24" i="16"/>
  <c r="B24" i="16"/>
  <c r="C24" i="16"/>
  <c r="D24" i="16"/>
  <c r="E24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AE24" i="16"/>
  <c r="AF24" i="16"/>
  <c r="AG24" i="16"/>
  <c r="AH24" i="16"/>
  <c r="AI24" i="16"/>
  <c r="AJ24" i="16"/>
  <c r="AK24" i="16"/>
  <c r="AL24" i="16"/>
  <c r="AM24" i="16"/>
  <c r="AN24" i="16"/>
  <c r="AO24" i="16"/>
  <c r="AP24" i="16"/>
  <c r="AQ24" i="16"/>
  <c r="AR24" i="16"/>
  <c r="AS24" i="16"/>
  <c r="AT24" i="16"/>
  <c r="AU24" i="16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AQ25" i="16"/>
  <c r="AR25" i="16"/>
  <c r="AS25" i="16"/>
  <c r="AT25" i="16"/>
  <c r="AU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AE26" i="16"/>
  <c r="AF26" i="16"/>
  <c r="AG26" i="16"/>
  <c r="AH26" i="16"/>
  <c r="AI26" i="16"/>
  <c r="AJ26" i="16"/>
  <c r="AK26" i="16"/>
  <c r="AL26" i="16"/>
  <c r="AM26" i="16"/>
  <c r="AN26" i="16"/>
  <c r="AO26" i="16"/>
  <c r="AP26" i="16"/>
  <c r="AQ26" i="16"/>
  <c r="AR26" i="16"/>
  <c r="AS26" i="16"/>
  <c r="AT26" i="16"/>
  <c r="AU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AE27" i="16"/>
  <c r="AF27" i="16"/>
  <c r="AG27" i="16"/>
  <c r="AH27" i="16"/>
  <c r="AI27" i="16"/>
  <c r="AJ27" i="16"/>
  <c r="AK27" i="16"/>
  <c r="AL27" i="16"/>
  <c r="AM27" i="16"/>
  <c r="AN27" i="16"/>
  <c r="AO27" i="16"/>
  <c r="AP27" i="16"/>
  <c r="AQ27" i="16"/>
  <c r="AR27" i="16"/>
  <c r="AS27" i="16"/>
  <c r="AT27" i="16"/>
  <c r="AU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AG28" i="16"/>
  <c r="AH28" i="16"/>
  <c r="AI28" i="16"/>
  <c r="AJ28" i="16"/>
  <c r="AK28" i="16"/>
  <c r="AL28" i="16"/>
  <c r="AM28" i="16"/>
  <c r="AN28" i="16"/>
  <c r="AO28" i="16"/>
  <c r="AP28" i="16"/>
  <c r="AQ28" i="16"/>
  <c r="AR28" i="16"/>
  <c r="AS28" i="16"/>
  <c r="AT28" i="16"/>
  <c r="AU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AQ29" i="16"/>
  <c r="AR29" i="16"/>
  <c r="AS29" i="16"/>
  <c r="AT29" i="16"/>
  <c r="AU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AG30" i="16"/>
  <c r="AH30" i="16"/>
  <c r="AI30" i="16"/>
  <c r="AJ30" i="16"/>
  <c r="AK30" i="16"/>
  <c r="AL30" i="16"/>
  <c r="AM30" i="16"/>
  <c r="AN30" i="16"/>
  <c r="AO30" i="16"/>
  <c r="AP30" i="16"/>
  <c r="AQ30" i="16"/>
  <c r="AR30" i="16"/>
  <c r="AS30" i="16"/>
  <c r="AT30" i="16"/>
  <c r="AU30" i="16"/>
  <c r="A31" i="16"/>
  <c r="B31" i="16"/>
  <c r="C31" i="16"/>
  <c r="D31" i="16"/>
  <c r="E31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AG31" i="16"/>
  <c r="AH31" i="16"/>
  <c r="AI31" i="16"/>
  <c r="AJ31" i="16"/>
  <c r="AK31" i="16"/>
  <c r="AL31" i="16"/>
  <c r="AM31" i="16"/>
  <c r="AN31" i="16"/>
  <c r="AO31" i="16"/>
  <c r="AP31" i="16"/>
  <c r="AQ31" i="16"/>
  <c r="AR31" i="16"/>
  <c r="AS31" i="16"/>
  <c r="AT31" i="16"/>
  <c r="AU31" i="16"/>
  <c r="A32" i="16"/>
  <c r="B32" i="16"/>
  <c r="C32" i="16"/>
  <c r="D32" i="16"/>
  <c r="E32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AG32" i="16"/>
  <c r="AH32" i="16"/>
  <c r="AI32" i="16"/>
  <c r="AJ32" i="16"/>
  <c r="AK32" i="16"/>
  <c r="AL32" i="16"/>
  <c r="AM32" i="16"/>
  <c r="AN32" i="16"/>
  <c r="AO32" i="16"/>
  <c r="AP32" i="16"/>
  <c r="AQ32" i="16"/>
  <c r="AR32" i="16"/>
  <c r="AS32" i="16"/>
  <c r="AT32" i="16"/>
  <c r="AU32" i="16"/>
  <c r="A33" i="16"/>
  <c r="B33" i="16"/>
  <c r="C33" i="16"/>
  <c r="D33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AG33" i="16"/>
  <c r="AH33" i="16"/>
  <c r="AI33" i="16"/>
  <c r="AJ33" i="16"/>
  <c r="AK33" i="16"/>
  <c r="AL33" i="16"/>
  <c r="AM33" i="16"/>
  <c r="AN33" i="16"/>
  <c r="AO33" i="16"/>
  <c r="AP33" i="16"/>
  <c r="AQ33" i="16"/>
  <c r="AR33" i="16"/>
  <c r="AS33" i="16"/>
  <c r="AT33" i="16"/>
  <c r="AU33" i="16"/>
  <c r="A34" i="16"/>
  <c r="B34" i="16"/>
  <c r="C34" i="16"/>
  <c r="D34" i="16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AD34" i="16"/>
  <c r="AE34" i="16"/>
  <c r="AF34" i="16"/>
  <c r="AG34" i="16"/>
  <c r="AH34" i="16"/>
  <c r="AI34" i="16"/>
  <c r="AJ34" i="16"/>
  <c r="AK34" i="16"/>
  <c r="AL34" i="16"/>
  <c r="AM34" i="16"/>
  <c r="AN34" i="16"/>
  <c r="AO34" i="16"/>
  <c r="AP34" i="16"/>
  <c r="AQ34" i="16"/>
  <c r="AR34" i="16"/>
  <c r="AS34" i="16"/>
  <c r="AT34" i="16"/>
  <c r="AU34" i="16"/>
  <c r="A35" i="16"/>
  <c r="B35" i="16"/>
  <c r="C35" i="16"/>
  <c r="D35" i="16"/>
  <c r="E35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F35" i="16"/>
  <c r="AG35" i="16"/>
  <c r="AH35" i="16"/>
  <c r="AI35" i="16"/>
  <c r="AJ35" i="16"/>
  <c r="AK35" i="16"/>
  <c r="AL35" i="16"/>
  <c r="AM35" i="16"/>
  <c r="AN35" i="16"/>
  <c r="AO35" i="16"/>
  <c r="AP35" i="16"/>
  <c r="AQ35" i="16"/>
  <c r="AR35" i="16"/>
  <c r="AS35" i="16"/>
  <c r="AT35" i="16"/>
  <c r="AU35" i="16"/>
  <c r="A36" i="16"/>
  <c r="B36" i="16"/>
  <c r="C36" i="16"/>
  <c r="D36" i="16"/>
  <c r="E36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AE36" i="16"/>
  <c r="AF36" i="16"/>
  <c r="AG36" i="16"/>
  <c r="AH36" i="16"/>
  <c r="AI36" i="16"/>
  <c r="AJ36" i="16"/>
  <c r="AK36" i="16"/>
  <c r="AL36" i="16"/>
  <c r="AM36" i="16"/>
  <c r="AN36" i="16"/>
  <c r="AO36" i="16"/>
  <c r="AP36" i="16"/>
  <c r="AQ36" i="16"/>
  <c r="AR36" i="16"/>
  <c r="AS36" i="16"/>
  <c r="AT36" i="16"/>
  <c r="AU36" i="16"/>
  <c r="A37" i="16"/>
  <c r="B37" i="16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L37" i="16"/>
  <c r="AM37" i="16"/>
  <c r="AN37" i="16"/>
  <c r="AO37" i="16"/>
  <c r="AP37" i="16"/>
  <c r="AQ37" i="16"/>
  <c r="AR37" i="16"/>
  <c r="AS37" i="16"/>
  <c r="AT37" i="16"/>
  <c r="AU37" i="16"/>
  <c r="A38" i="16"/>
  <c r="B38" i="16"/>
  <c r="C38" i="16"/>
  <c r="D38" i="16"/>
  <c r="E38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I38" i="16"/>
  <c r="AJ38" i="16"/>
  <c r="AK38" i="16"/>
  <c r="AL38" i="16"/>
  <c r="AM38" i="16"/>
  <c r="AN38" i="16"/>
  <c r="AO38" i="16"/>
  <c r="AP38" i="16"/>
  <c r="AQ38" i="16"/>
  <c r="AR38" i="16"/>
  <c r="AS38" i="16"/>
  <c r="AT38" i="16"/>
  <c r="AU38" i="16"/>
  <c r="A39" i="16"/>
  <c r="B39" i="16"/>
  <c r="C39" i="16"/>
  <c r="D39" i="16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I39" i="16"/>
  <c r="AJ39" i="16"/>
  <c r="AK39" i="16"/>
  <c r="AL39" i="16"/>
  <c r="AM39" i="16"/>
  <c r="AN39" i="16"/>
  <c r="AO39" i="16"/>
  <c r="AP39" i="16"/>
  <c r="AQ39" i="16"/>
  <c r="AR39" i="16"/>
  <c r="AS39" i="16"/>
  <c r="AT39" i="16"/>
  <c r="AU39" i="16"/>
  <c r="A40" i="16"/>
  <c r="B40" i="16"/>
  <c r="C40" i="16"/>
  <c r="D40" i="16"/>
  <c r="E40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R40" i="16"/>
  <c r="S40" i="16"/>
  <c r="T40" i="16"/>
  <c r="U40" i="16"/>
  <c r="V40" i="16"/>
  <c r="W40" i="16"/>
  <c r="X40" i="16"/>
  <c r="Y40" i="16"/>
  <c r="Z40" i="16"/>
  <c r="AA40" i="16"/>
  <c r="AB40" i="16"/>
  <c r="AC40" i="16"/>
  <c r="AD40" i="16"/>
  <c r="AE40" i="16"/>
  <c r="AF40" i="16"/>
  <c r="AG40" i="16"/>
  <c r="AH40" i="16"/>
  <c r="AI40" i="16"/>
  <c r="AJ40" i="16"/>
  <c r="AK40" i="16"/>
  <c r="AL40" i="16"/>
  <c r="AM40" i="16"/>
  <c r="AN40" i="16"/>
  <c r="AO40" i="16"/>
  <c r="AP40" i="16"/>
  <c r="AQ40" i="16"/>
  <c r="AR40" i="16"/>
  <c r="AS40" i="16"/>
  <c r="AT40" i="16"/>
  <c r="AU40" i="16"/>
  <c r="A41" i="16"/>
  <c r="B41" i="16"/>
  <c r="C41" i="16"/>
  <c r="D41" i="16"/>
  <c r="E41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AD41" i="16"/>
  <c r="AE41" i="16"/>
  <c r="AF41" i="16"/>
  <c r="AG41" i="16"/>
  <c r="AH41" i="16"/>
  <c r="AI41" i="16"/>
  <c r="AJ41" i="16"/>
  <c r="AK41" i="16"/>
  <c r="AL41" i="16"/>
  <c r="AM41" i="16"/>
  <c r="AN41" i="16"/>
  <c r="AO41" i="16"/>
  <c r="AP41" i="16"/>
  <c r="AQ41" i="16"/>
  <c r="AR41" i="16"/>
  <c r="AS41" i="16"/>
  <c r="AT41" i="16"/>
  <c r="AU41" i="16"/>
  <c r="A42" i="16"/>
  <c r="B42" i="16"/>
  <c r="C42" i="16"/>
  <c r="D42" i="16"/>
  <c r="E42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U42" i="16"/>
  <c r="V42" i="16"/>
  <c r="W42" i="16"/>
  <c r="X42" i="16"/>
  <c r="Y42" i="16"/>
  <c r="Z42" i="16"/>
  <c r="AA42" i="16"/>
  <c r="AB42" i="16"/>
  <c r="AC42" i="16"/>
  <c r="AD42" i="16"/>
  <c r="AE42" i="16"/>
  <c r="AF42" i="16"/>
  <c r="AG42" i="16"/>
  <c r="AH42" i="16"/>
  <c r="AI42" i="16"/>
  <c r="AJ42" i="16"/>
  <c r="AK42" i="16"/>
  <c r="AL42" i="16"/>
  <c r="AM42" i="16"/>
  <c r="AN42" i="16"/>
  <c r="AO42" i="16"/>
  <c r="AP42" i="16"/>
  <c r="AQ42" i="16"/>
  <c r="AR42" i="16"/>
  <c r="AS42" i="16"/>
  <c r="AT42" i="16"/>
  <c r="AU42" i="16"/>
  <c r="A43" i="16"/>
  <c r="B43" i="16"/>
  <c r="C43" i="16"/>
  <c r="D43" i="16"/>
  <c r="E43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R43" i="16"/>
  <c r="S43" i="16"/>
  <c r="T43" i="16"/>
  <c r="U43" i="16"/>
  <c r="V43" i="16"/>
  <c r="W43" i="16"/>
  <c r="X43" i="16"/>
  <c r="Y43" i="16"/>
  <c r="Z43" i="16"/>
  <c r="AA43" i="16"/>
  <c r="AB43" i="16"/>
  <c r="AC43" i="16"/>
  <c r="AD43" i="16"/>
  <c r="AE43" i="16"/>
  <c r="AF43" i="16"/>
  <c r="AG43" i="16"/>
  <c r="AH43" i="16"/>
  <c r="AI43" i="16"/>
  <c r="AJ43" i="16"/>
  <c r="AK43" i="16"/>
  <c r="AL43" i="16"/>
  <c r="AM43" i="16"/>
  <c r="AN43" i="16"/>
  <c r="AO43" i="16"/>
  <c r="AP43" i="16"/>
  <c r="AQ43" i="16"/>
  <c r="AR43" i="16"/>
  <c r="AS43" i="16"/>
  <c r="AT43" i="16"/>
  <c r="AU43" i="16"/>
  <c r="A44" i="16"/>
  <c r="B44" i="16"/>
  <c r="C44" i="16"/>
  <c r="D44" i="16"/>
  <c r="E44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U44" i="16"/>
  <c r="V44" i="16"/>
  <c r="W44" i="16"/>
  <c r="X44" i="16"/>
  <c r="Y44" i="16"/>
  <c r="Z44" i="16"/>
  <c r="AA44" i="16"/>
  <c r="AB44" i="16"/>
  <c r="AC44" i="16"/>
  <c r="AD44" i="16"/>
  <c r="AE44" i="16"/>
  <c r="AF44" i="16"/>
  <c r="AG44" i="16"/>
  <c r="AH44" i="16"/>
  <c r="AI44" i="16"/>
  <c r="AJ44" i="16"/>
  <c r="AK44" i="16"/>
  <c r="AL44" i="16"/>
  <c r="AM44" i="16"/>
  <c r="AN44" i="16"/>
  <c r="AO44" i="16"/>
  <c r="AP44" i="16"/>
  <c r="AQ44" i="16"/>
  <c r="AR44" i="16"/>
  <c r="AS44" i="16"/>
  <c r="AT44" i="16"/>
  <c r="AU44" i="16"/>
  <c r="A6" i="16"/>
  <c r="B6" i="18"/>
  <c r="C6" i="18"/>
  <c r="D6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R6" i="18"/>
  <c r="S6" i="18"/>
  <c r="T6" i="18"/>
  <c r="U6" i="18"/>
  <c r="V6" i="18"/>
  <c r="W6" i="18"/>
  <c r="X6" i="18"/>
  <c r="Y6" i="18"/>
  <c r="Z6" i="18"/>
  <c r="AA6" i="18"/>
  <c r="AB6" i="18"/>
  <c r="AC6" i="18"/>
  <c r="AD6" i="18"/>
  <c r="AE6" i="18"/>
  <c r="AF6" i="18"/>
  <c r="AG6" i="18"/>
  <c r="AH6" i="18"/>
  <c r="AI6" i="18"/>
  <c r="AJ6" i="18"/>
  <c r="AK6" i="18"/>
  <c r="AL6" i="18"/>
  <c r="AM6" i="18"/>
  <c r="AN6" i="18"/>
  <c r="AO6" i="18"/>
  <c r="AP6" i="18"/>
  <c r="AQ6" i="18"/>
  <c r="AR6" i="18"/>
  <c r="AS6" i="18"/>
  <c r="AT6" i="18"/>
  <c r="AU6" i="18"/>
  <c r="A7" i="18"/>
  <c r="B7" i="18"/>
  <c r="C7" i="18"/>
  <c r="D7" i="18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W7" i="18"/>
  <c r="X7" i="18"/>
  <c r="Y7" i="18"/>
  <c r="Z7" i="18"/>
  <c r="AA7" i="18"/>
  <c r="AB7" i="18"/>
  <c r="AC7" i="18"/>
  <c r="AD7" i="18"/>
  <c r="AE7" i="18"/>
  <c r="AF7" i="18"/>
  <c r="AG7" i="18"/>
  <c r="AH7" i="18"/>
  <c r="AI7" i="18"/>
  <c r="AJ7" i="18"/>
  <c r="AK7" i="18"/>
  <c r="AL7" i="18"/>
  <c r="AM7" i="18"/>
  <c r="AN7" i="18"/>
  <c r="AO7" i="18"/>
  <c r="AP7" i="18"/>
  <c r="AQ7" i="18"/>
  <c r="AR7" i="18"/>
  <c r="AS7" i="18"/>
  <c r="AT7" i="18"/>
  <c r="AU7" i="18"/>
  <c r="A8" i="18"/>
  <c r="B8" i="18"/>
  <c r="C8" i="18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R8" i="18"/>
  <c r="S8" i="18"/>
  <c r="T8" i="18"/>
  <c r="U8" i="18"/>
  <c r="V8" i="18"/>
  <c r="W8" i="18"/>
  <c r="X8" i="18"/>
  <c r="Y8" i="18"/>
  <c r="Z8" i="18"/>
  <c r="AA8" i="18"/>
  <c r="AB8" i="18"/>
  <c r="AC8" i="18"/>
  <c r="AD8" i="18"/>
  <c r="AE8" i="18"/>
  <c r="AF8" i="18"/>
  <c r="AG8" i="18"/>
  <c r="AH8" i="18"/>
  <c r="AI8" i="18"/>
  <c r="AJ8" i="18"/>
  <c r="AK8" i="18"/>
  <c r="AL8" i="18"/>
  <c r="AM8" i="18"/>
  <c r="AN8" i="18"/>
  <c r="AO8" i="18"/>
  <c r="AP8" i="18"/>
  <c r="AQ8" i="18"/>
  <c r="AR8" i="18"/>
  <c r="AS8" i="18"/>
  <c r="AT8" i="18"/>
  <c r="AU8" i="18"/>
  <c r="A9" i="18"/>
  <c r="B9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AJ9" i="18"/>
  <c r="AK9" i="18"/>
  <c r="AL9" i="18"/>
  <c r="AM9" i="18"/>
  <c r="AN9" i="18"/>
  <c r="AO9" i="18"/>
  <c r="AP9" i="18"/>
  <c r="AQ9" i="18"/>
  <c r="AR9" i="18"/>
  <c r="AS9" i="18"/>
  <c r="AT9" i="18"/>
  <c r="AU9" i="18"/>
  <c r="A10" i="18"/>
  <c r="B10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AJ10" i="18"/>
  <c r="AK10" i="18"/>
  <c r="AL10" i="18"/>
  <c r="AM10" i="18"/>
  <c r="AN10" i="18"/>
  <c r="AO10" i="18"/>
  <c r="AP10" i="18"/>
  <c r="AQ10" i="18"/>
  <c r="AR10" i="18"/>
  <c r="AS10" i="18"/>
  <c r="AT10" i="18"/>
  <c r="AU10" i="18"/>
  <c r="A11" i="18"/>
  <c r="B11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AA11" i="18"/>
  <c r="AB11" i="18"/>
  <c r="AC11" i="18"/>
  <c r="AD11" i="18"/>
  <c r="AE11" i="18"/>
  <c r="AF11" i="18"/>
  <c r="AG11" i="18"/>
  <c r="AH11" i="18"/>
  <c r="AI11" i="18"/>
  <c r="AJ11" i="18"/>
  <c r="AK11" i="18"/>
  <c r="AL11" i="18"/>
  <c r="AM11" i="18"/>
  <c r="AN11" i="18"/>
  <c r="AO11" i="18"/>
  <c r="AP11" i="18"/>
  <c r="AQ11" i="18"/>
  <c r="AR11" i="18"/>
  <c r="AS11" i="18"/>
  <c r="AT11" i="18"/>
  <c r="AU11" i="18"/>
  <c r="A12" i="18"/>
  <c r="B12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AA12" i="18"/>
  <c r="AB12" i="18"/>
  <c r="AC12" i="18"/>
  <c r="AD12" i="18"/>
  <c r="AE12" i="18"/>
  <c r="AF12" i="18"/>
  <c r="AG12" i="18"/>
  <c r="AH12" i="18"/>
  <c r="AI12" i="18"/>
  <c r="AJ12" i="18"/>
  <c r="AK12" i="18"/>
  <c r="AL12" i="18"/>
  <c r="AM12" i="18"/>
  <c r="AN12" i="18"/>
  <c r="AO12" i="18"/>
  <c r="AP12" i="18"/>
  <c r="AQ12" i="18"/>
  <c r="AR12" i="18"/>
  <c r="AS12" i="18"/>
  <c r="AT12" i="18"/>
  <c r="AU12" i="18"/>
  <c r="A13" i="18"/>
  <c r="B13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AA13" i="18"/>
  <c r="AB13" i="18"/>
  <c r="AC13" i="18"/>
  <c r="AD13" i="18"/>
  <c r="AE13" i="18"/>
  <c r="AF13" i="18"/>
  <c r="AG13" i="18"/>
  <c r="AH13" i="18"/>
  <c r="AI13" i="18"/>
  <c r="AJ13" i="18"/>
  <c r="AK13" i="18"/>
  <c r="AL13" i="18"/>
  <c r="AM13" i="18"/>
  <c r="AN13" i="18"/>
  <c r="AO13" i="18"/>
  <c r="AP13" i="18"/>
  <c r="AQ13" i="18"/>
  <c r="AR13" i="18"/>
  <c r="AS13" i="18"/>
  <c r="AT13" i="18"/>
  <c r="AU13" i="18"/>
  <c r="A14" i="18"/>
  <c r="B14" i="18"/>
  <c r="C14" i="18"/>
  <c r="D14" i="18"/>
  <c r="E14" i="18"/>
  <c r="F14" i="18"/>
  <c r="G14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AA14" i="18"/>
  <c r="AB14" i="18"/>
  <c r="AC14" i="18"/>
  <c r="AD14" i="18"/>
  <c r="AE14" i="18"/>
  <c r="AF14" i="18"/>
  <c r="AG14" i="18"/>
  <c r="AH14" i="18"/>
  <c r="AI14" i="18"/>
  <c r="AJ14" i="18"/>
  <c r="AK14" i="18"/>
  <c r="AL14" i="18"/>
  <c r="AM14" i="18"/>
  <c r="AN14" i="18"/>
  <c r="AO14" i="18"/>
  <c r="AP14" i="18"/>
  <c r="AQ14" i="18"/>
  <c r="AR14" i="18"/>
  <c r="AS14" i="18"/>
  <c r="AT14" i="18"/>
  <c r="AU14" i="18"/>
  <c r="A15" i="18"/>
  <c r="B15" i="18"/>
  <c r="C15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AA15" i="18"/>
  <c r="AB15" i="18"/>
  <c r="AC15" i="18"/>
  <c r="AD15" i="18"/>
  <c r="AE15" i="18"/>
  <c r="AF15" i="18"/>
  <c r="AG15" i="18"/>
  <c r="AH15" i="18"/>
  <c r="AI15" i="18"/>
  <c r="AJ15" i="18"/>
  <c r="AK15" i="18"/>
  <c r="AL15" i="18"/>
  <c r="AM15" i="18"/>
  <c r="AN15" i="18"/>
  <c r="AO15" i="18"/>
  <c r="AP15" i="18"/>
  <c r="AQ15" i="18"/>
  <c r="AR15" i="18"/>
  <c r="AS15" i="18"/>
  <c r="AT15" i="18"/>
  <c r="AU15" i="18"/>
  <c r="A16" i="18"/>
  <c r="B16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AG16" i="18"/>
  <c r="AH16" i="18"/>
  <c r="AI16" i="18"/>
  <c r="AJ16" i="18"/>
  <c r="AK16" i="18"/>
  <c r="AL16" i="18"/>
  <c r="AM16" i="18"/>
  <c r="AN16" i="18"/>
  <c r="AO16" i="18"/>
  <c r="AP16" i="18"/>
  <c r="AQ16" i="18"/>
  <c r="AR16" i="18"/>
  <c r="AS16" i="18"/>
  <c r="AT16" i="18"/>
  <c r="AU16" i="18"/>
  <c r="A17" i="18"/>
  <c r="B17" i="18"/>
  <c r="C17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AA17" i="18"/>
  <c r="AB17" i="18"/>
  <c r="AC17" i="18"/>
  <c r="AD17" i="18"/>
  <c r="AE17" i="18"/>
  <c r="AF17" i="18"/>
  <c r="AG17" i="18"/>
  <c r="AH17" i="18"/>
  <c r="AI17" i="18"/>
  <c r="AJ17" i="18"/>
  <c r="AK17" i="18"/>
  <c r="AL17" i="18"/>
  <c r="AM17" i="18"/>
  <c r="AN17" i="18"/>
  <c r="AO17" i="18"/>
  <c r="AP17" i="18"/>
  <c r="AQ17" i="18"/>
  <c r="AR17" i="18"/>
  <c r="AS17" i="18"/>
  <c r="AT17" i="18"/>
  <c r="AU17" i="18"/>
  <c r="A18" i="18"/>
  <c r="B18" i="18"/>
  <c r="C18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AA18" i="18"/>
  <c r="AB18" i="18"/>
  <c r="AC18" i="18"/>
  <c r="AD18" i="18"/>
  <c r="AE18" i="18"/>
  <c r="AF18" i="18"/>
  <c r="AG18" i="18"/>
  <c r="AH18" i="18"/>
  <c r="AI18" i="18"/>
  <c r="AJ18" i="18"/>
  <c r="AK18" i="18"/>
  <c r="AL18" i="18"/>
  <c r="AM18" i="18"/>
  <c r="AN18" i="18"/>
  <c r="AO18" i="18"/>
  <c r="AP18" i="18"/>
  <c r="AQ18" i="18"/>
  <c r="AR18" i="18"/>
  <c r="AS18" i="18"/>
  <c r="AT18" i="18"/>
  <c r="AU18" i="18"/>
  <c r="A19" i="18"/>
  <c r="B19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AF19" i="18"/>
  <c r="AG19" i="18"/>
  <c r="AH19" i="18"/>
  <c r="AI19" i="18"/>
  <c r="AJ19" i="18"/>
  <c r="AK19" i="18"/>
  <c r="AL19" i="18"/>
  <c r="AM19" i="18"/>
  <c r="AN19" i="18"/>
  <c r="AO19" i="18"/>
  <c r="AP19" i="18"/>
  <c r="AQ19" i="18"/>
  <c r="AR19" i="18"/>
  <c r="AS19" i="18"/>
  <c r="AT19" i="18"/>
  <c r="AU19" i="18"/>
  <c r="A20" i="18"/>
  <c r="B20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AD20" i="18"/>
  <c r="AE20" i="18"/>
  <c r="AF20" i="18"/>
  <c r="AG20" i="18"/>
  <c r="AH20" i="18"/>
  <c r="AI20" i="18"/>
  <c r="AJ20" i="18"/>
  <c r="AK20" i="18"/>
  <c r="AL20" i="18"/>
  <c r="AM20" i="18"/>
  <c r="AN20" i="18"/>
  <c r="AO20" i="18"/>
  <c r="AP20" i="18"/>
  <c r="AQ20" i="18"/>
  <c r="AR20" i="18"/>
  <c r="AS20" i="18"/>
  <c r="AT20" i="18"/>
  <c r="AU20" i="18"/>
  <c r="A21" i="18"/>
  <c r="B21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AG21" i="18"/>
  <c r="AH21" i="18"/>
  <c r="AI21" i="18"/>
  <c r="AJ21" i="18"/>
  <c r="AK21" i="18"/>
  <c r="AL21" i="18"/>
  <c r="AM21" i="18"/>
  <c r="AN21" i="18"/>
  <c r="AO21" i="18"/>
  <c r="AP21" i="18"/>
  <c r="AQ21" i="18"/>
  <c r="AR21" i="18"/>
  <c r="AS21" i="18"/>
  <c r="AT21" i="18"/>
  <c r="AU21" i="18"/>
  <c r="A6" i="18"/>
  <c r="B6" i="22"/>
  <c r="C6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AA6" i="22"/>
  <c r="AB6" i="22"/>
  <c r="AC6" i="22"/>
  <c r="AD6" i="22"/>
  <c r="AE6" i="22"/>
  <c r="AF6" i="22"/>
  <c r="AG6" i="22"/>
  <c r="AH6" i="22"/>
  <c r="AI6" i="22"/>
  <c r="AJ6" i="22"/>
  <c r="AK6" i="22"/>
  <c r="AL6" i="22"/>
  <c r="AM6" i="22"/>
  <c r="AN6" i="22"/>
  <c r="AO6" i="22"/>
  <c r="AP6" i="22"/>
  <c r="AQ6" i="22"/>
  <c r="AR6" i="22"/>
  <c r="AS6" i="22"/>
  <c r="AT6" i="22"/>
  <c r="AU6" i="22"/>
  <c r="A7" i="22"/>
  <c r="B7" i="22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8" i="22"/>
  <c r="B8" i="22"/>
  <c r="C8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AA8" i="22"/>
  <c r="AB8" i="22"/>
  <c r="AC8" i="22"/>
  <c r="AD8" i="22"/>
  <c r="AE8" i="22"/>
  <c r="AF8" i="22"/>
  <c r="AG8" i="22"/>
  <c r="AH8" i="22"/>
  <c r="AI8" i="22"/>
  <c r="AJ8" i="22"/>
  <c r="AK8" i="22"/>
  <c r="AL8" i="22"/>
  <c r="AM8" i="22"/>
  <c r="AN8" i="22"/>
  <c r="AO8" i="22"/>
  <c r="AP8" i="22"/>
  <c r="AQ8" i="22"/>
  <c r="AR8" i="22"/>
  <c r="AS8" i="22"/>
  <c r="AT8" i="22"/>
  <c r="AU8" i="22"/>
  <c r="A9" i="22"/>
  <c r="B9" i="22"/>
  <c r="C9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AH9" i="22"/>
  <c r="AI9" i="22"/>
  <c r="AJ9" i="22"/>
  <c r="AK9" i="22"/>
  <c r="AL9" i="22"/>
  <c r="AM9" i="22"/>
  <c r="AN9" i="22"/>
  <c r="AO9" i="22"/>
  <c r="AP9" i="22"/>
  <c r="AQ9" i="22"/>
  <c r="AR9" i="22"/>
  <c r="AS9" i="22"/>
  <c r="AT9" i="22"/>
  <c r="AU9" i="22"/>
  <c r="A10" i="22"/>
  <c r="B10" i="22"/>
  <c r="C10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AB10" i="22"/>
  <c r="AC10" i="22"/>
  <c r="AD10" i="22"/>
  <c r="AE10" i="22"/>
  <c r="AF10" i="22"/>
  <c r="AG10" i="22"/>
  <c r="AH10" i="22"/>
  <c r="AI10" i="22"/>
  <c r="AJ10" i="22"/>
  <c r="AK10" i="22"/>
  <c r="AL10" i="22"/>
  <c r="AM10" i="22"/>
  <c r="AN10" i="22"/>
  <c r="AO10" i="22"/>
  <c r="AP10" i="22"/>
  <c r="AQ10" i="22"/>
  <c r="AR10" i="22"/>
  <c r="AS10" i="22"/>
  <c r="AT10" i="22"/>
  <c r="AU10" i="22"/>
  <c r="A11" i="22"/>
  <c r="B11" i="22"/>
  <c r="C11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AA11" i="22"/>
  <c r="AB11" i="22"/>
  <c r="AC11" i="22"/>
  <c r="AD11" i="22"/>
  <c r="AE11" i="22"/>
  <c r="AF11" i="22"/>
  <c r="AG11" i="22"/>
  <c r="AH11" i="22"/>
  <c r="AI11" i="22"/>
  <c r="AJ11" i="22"/>
  <c r="AK11" i="22"/>
  <c r="AL11" i="22"/>
  <c r="AM11" i="22"/>
  <c r="AN11" i="22"/>
  <c r="AO11" i="22"/>
  <c r="AP11" i="22"/>
  <c r="AQ11" i="22"/>
  <c r="AR11" i="22"/>
  <c r="AS11" i="22"/>
  <c r="AT11" i="22"/>
  <c r="AU11" i="22"/>
  <c r="A12" i="22"/>
  <c r="B12" i="22"/>
  <c r="C12" i="22"/>
  <c r="D12" i="22"/>
  <c r="E12" i="22"/>
  <c r="F12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U12" i="22"/>
  <c r="V12" i="22"/>
  <c r="W12" i="22"/>
  <c r="X12" i="22"/>
  <c r="Y12" i="22"/>
  <c r="Z12" i="22"/>
  <c r="AA12" i="22"/>
  <c r="AB12" i="22"/>
  <c r="AC12" i="22"/>
  <c r="AD12" i="22"/>
  <c r="AE12" i="22"/>
  <c r="AF12" i="22"/>
  <c r="AG12" i="22"/>
  <c r="AH12" i="22"/>
  <c r="AI12" i="22"/>
  <c r="AJ12" i="22"/>
  <c r="AK12" i="22"/>
  <c r="AL12" i="22"/>
  <c r="AM12" i="22"/>
  <c r="AN12" i="22"/>
  <c r="AO12" i="22"/>
  <c r="AP12" i="22"/>
  <c r="AQ12" i="22"/>
  <c r="AR12" i="22"/>
  <c r="AS12" i="22"/>
  <c r="AT12" i="22"/>
  <c r="AU12" i="22"/>
  <c r="A13" i="22"/>
  <c r="B13" i="22"/>
  <c r="C13" i="22"/>
  <c r="D13" i="22"/>
  <c r="E13" i="22"/>
  <c r="F13" i="22"/>
  <c r="G13" i="22"/>
  <c r="H13" i="22"/>
  <c r="I13" i="22"/>
  <c r="J13" i="22"/>
  <c r="K13" i="22"/>
  <c r="L13" i="22"/>
  <c r="M13" i="22"/>
  <c r="N13" i="22"/>
  <c r="O13" i="22"/>
  <c r="P13" i="22"/>
  <c r="Q13" i="22"/>
  <c r="R13" i="22"/>
  <c r="S13" i="22"/>
  <c r="T13" i="22"/>
  <c r="U13" i="22"/>
  <c r="V13" i="22"/>
  <c r="W13" i="22"/>
  <c r="X13" i="22"/>
  <c r="Y13" i="22"/>
  <c r="Z13" i="22"/>
  <c r="AA13" i="22"/>
  <c r="AB13" i="22"/>
  <c r="AC13" i="22"/>
  <c r="AD13" i="22"/>
  <c r="AE13" i="22"/>
  <c r="AF13" i="22"/>
  <c r="AG13" i="22"/>
  <c r="AH13" i="22"/>
  <c r="AI13" i="22"/>
  <c r="AJ13" i="22"/>
  <c r="AK13" i="22"/>
  <c r="AL13" i="22"/>
  <c r="AM13" i="22"/>
  <c r="AN13" i="22"/>
  <c r="AO13" i="22"/>
  <c r="AP13" i="22"/>
  <c r="AQ13" i="22"/>
  <c r="AR13" i="22"/>
  <c r="AS13" i="22"/>
  <c r="AT13" i="22"/>
  <c r="AU13" i="22"/>
  <c r="A14" i="22"/>
  <c r="B14" i="22"/>
  <c r="C14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Q14" i="22"/>
  <c r="R14" i="22"/>
  <c r="S14" i="22"/>
  <c r="T14" i="22"/>
  <c r="U14" i="22"/>
  <c r="V14" i="22"/>
  <c r="W14" i="22"/>
  <c r="X14" i="22"/>
  <c r="Y14" i="22"/>
  <c r="Z14" i="22"/>
  <c r="AA14" i="22"/>
  <c r="AB14" i="22"/>
  <c r="AC14" i="22"/>
  <c r="AD14" i="22"/>
  <c r="AE14" i="22"/>
  <c r="AF14" i="22"/>
  <c r="AG14" i="22"/>
  <c r="AH14" i="22"/>
  <c r="AI14" i="22"/>
  <c r="AJ14" i="22"/>
  <c r="AK14" i="22"/>
  <c r="AL14" i="22"/>
  <c r="AM14" i="22"/>
  <c r="AN14" i="22"/>
  <c r="AO14" i="22"/>
  <c r="AP14" i="22"/>
  <c r="AQ14" i="22"/>
  <c r="AR14" i="22"/>
  <c r="AS14" i="22"/>
  <c r="AT14" i="22"/>
  <c r="AU14" i="22"/>
  <c r="A15" i="22"/>
  <c r="B15" i="22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Y15" i="22"/>
  <c r="Z15" i="22"/>
  <c r="AA15" i="22"/>
  <c r="AB15" i="22"/>
  <c r="AC15" i="22"/>
  <c r="AD15" i="22"/>
  <c r="AE15" i="22"/>
  <c r="AF15" i="22"/>
  <c r="AG15" i="22"/>
  <c r="AH15" i="22"/>
  <c r="AI15" i="22"/>
  <c r="AJ15" i="22"/>
  <c r="AK15" i="22"/>
  <c r="AL15" i="22"/>
  <c r="AM15" i="22"/>
  <c r="AN15" i="22"/>
  <c r="AO15" i="22"/>
  <c r="AP15" i="22"/>
  <c r="AQ15" i="22"/>
  <c r="AR15" i="22"/>
  <c r="AS15" i="22"/>
  <c r="AT15" i="22"/>
  <c r="AU15" i="22"/>
  <c r="A16" i="22"/>
  <c r="B16" i="22"/>
  <c r="C16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P16" i="22"/>
  <c r="Q16" i="22"/>
  <c r="R16" i="22"/>
  <c r="S16" i="22"/>
  <c r="T16" i="22"/>
  <c r="U16" i="22"/>
  <c r="V16" i="22"/>
  <c r="W16" i="22"/>
  <c r="X16" i="22"/>
  <c r="Y16" i="22"/>
  <c r="Z16" i="22"/>
  <c r="AA16" i="22"/>
  <c r="AB16" i="22"/>
  <c r="AC16" i="22"/>
  <c r="AD16" i="22"/>
  <c r="AE16" i="22"/>
  <c r="AF16" i="22"/>
  <c r="AG16" i="22"/>
  <c r="AH16" i="22"/>
  <c r="AI16" i="22"/>
  <c r="AJ16" i="22"/>
  <c r="AK16" i="22"/>
  <c r="AL16" i="22"/>
  <c r="AM16" i="22"/>
  <c r="AN16" i="22"/>
  <c r="AO16" i="22"/>
  <c r="AP16" i="22"/>
  <c r="AQ16" i="22"/>
  <c r="AR16" i="22"/>
  <c r="AS16" i="22"/>
  <c r="AT16" i="22"/>
  <c r="AU16" i="22"/>
  <c r="A17" i="22"/>
  <c r="B17" i="22"/>
  <c r="C17" i="22"/>
  <c r="D17" i="22"/>
  <c r="E17" i="22"/>
  <c r="F17" i="22"/>
  <c r="G17" i="22"/>
  <c r="H17" i="22"/>
  <c r="I17" i="22"/>
  <c r="J17" i="22"/>
  <c r="K17" i="22"/>
  <c r="L17" i="22"/>
  <c r="M17" i="22"/>
  <c r="N17" i="22"/>
  <c r="O17" i="22"/>
  <c r="P17" i="22"/>
  <c r="Q17" i="22"/>
  <c r="R17" i="22"/>
  <c r="S17" i="22"/>
  <c r="T17" i="22"/>
  <c r="U17" i="22"/>
  <c r="V17" i="22"/>
  <c r="W17" i="22"/>
  <c r="X17" i="22"/>
  <c r="Y17" i="22"/>
  <c r="Z17" i="22"/>
  <c r="AA17" i="22"/>
  <c r="AB17" i="22"/>
  <c r="AC17" i="22"/>
  <c r="AD17" i="22"/>
  <c r="AE17" i="22"/>
  <c r="AF17" i="22"/>
  <c r="AG17" i="22"/>
  <c r="AH17" i="22"/>
  <c r="AI17" i="22"/>
  <c r="AJ17" i="22"/>
  <c r="AK17" i="22"/>
  <c r="AL17" i="22"/>
  <c r="AM17" i="22"/>
  <c r="AN17" i="22"/>
  <c r="AO17" i="22"/>
  <c r="AP17" i="22"/>
  <c r="AQ17" i="22"/>
  <c r="AR17" i="22"/>
  <c r="AS17" i="22"/>
  <c r="AT17" i="22"/>
  <c r="AU17" i="22"/>
  <c r="A18" i="22"/>
  <c r="B18" i="22"/>
  <c r="C18" i="22"/>
  <c r="D18" i="22"/>
  <c r="E18" i="22"/>
  <c r="F18" i="22"/>
  <c r="G18" i="22"/>
  <c r="H18" i="22"/>
  <c r="I18" i="22"/>
  <c r="J18" i="22"/>
  <c r="K18" i="22"/>
  <c r="L18" i="22"/>
  <c r="M18" i="22"/>
  <c r="N18" i="22"/>
  <c r="O18" i="22"/>
  <c r="P18" i="22"/>
  <c r="Q18" i="22"/>
  <c r="R18" i="22"/>
  <c r="S18" i="22"/>
  <c r="T18" i="22"/>
  <c r="U18" i="22"/>
  <c r="V18" i="22"/>
  <c r="W18" i="22"/>
  <c r="X18" i="22"/>
  <c r="Y18" i="22"/>
  <c r="Z18" i="22"/>
  <c r="AA18" i="22"/>
  <c r="AB18" i="22"/>
  <c r="AC18" i="22"/>
  <c r="AD18" i="22"/>
  <c r="AE18" i="22"/>
  <c r="AF18" i="22"/>
  <c r="AG18" i="22"/>
  <c r="AH18" i="22"/>
  <c r="AI18" i="22"/>
  <c r="AJ18" i="22"/>
  <c r="AK18" i="22"/>
  <c r="AL18" i="22"/>
  <c r="AM18" i="22"/>
  <c r="AN18" i="22"/>
  <c r="AO18" i="22"/>
  <c r="AP18" i="22"/>
  <c r="AQ18" i="22"/>
  <c r="AR18" i="22"/>
  <c r="AS18" i="22"/>
  <c r="AT18" i="22"/>
  <c r="AU18" i="22"/>
  <c r="A19" i="22"/>
  <c r="B19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S19" i="22"/>
  <c r="T19" i="22"/>
  <c r="U19" i="22"/>
  <c r="V19" i="22"/>
  <c r="W19" i="22"/>
  <c r="X19" i="22"/>
  <c r="Y19" i="22"/>
  <c r="Z19" i="22"/>
  <c r="AA19" i="22"/>
  <c r="AB19" i="22"/>
  <c r="AC19" i="22"/>
  <c r="AD19" i="22"/>
  <c r="AE19" i="22"/>
  <c r="AF19" i="22"/>
  <c r="AG19" i="22"/>
  <c r="AH19" i="22"/>
  <c r="AI19" i="22"/>
  <c r="AJ19" i="22"/>
  <c r="AK19" i="22"/>
  <c r="AL19" i="22"/>
  <c r="AM19" i="22"/>
  <c r="AN19" i="22"/>
  <c r="AO19" i="22"/>
  <c r="AP19" i="22"/>
  <c r="AQ19" i="22"/>
  <c r="AR19" i="22"/>
  <c r="AS19" i="22"/>
  <c r="AT19" i="22"/>
  <c r="AU19" i="22"/>
  <c r="A20" i="22"/>
  <c r="B20" i="22"/>
  <c r="C20" i="22"/>
  <c r="D20" i="22"/>
  <c r="E20" i="22"/>
  <c r="F20" i="22"/>
  <c r="G20" i="22"/>
  <c r="H20" i="22"/>
  <c r="I20" i="22"/>
  <c r="J20" i="22"/>
  <c r="K20" i="22"/>
  <c r="L20" i="22"/>
  <c r="M20" i="22"/>
  <c r="N20" i="22"/>
  <c r="O20" i="22"/>
  <c r="P20" i="22"/>
  <c r="Q20" i="22"/>
  <c r="R20" i="22"/>
  <c r="S20" i="22"/>
  <c r="T20" i="22"/>
  <c r="U20" i="22"/>
  <c r="V20" i="22"/>
  <c r="W20" i="22"/>
  <c r="X20" i="22"/>
  <c r="Y20" i="22"/>
  <c r="Z20" i="22"/>
  <c r="AA20" i="22"/>
  <c r="AB20" i="22"/>
  <c r="AC20" i="22"/>
  <c r="AD20" i="22"/>
  <c r="AE20" i="22"/>
  <c r="AF20" i="22"/>
  <c r="AG20" i="22"/>
  <c r="AH20" i="22"/>
  <c r="AI20" i="22"/>
  <c r="AJ20" i="22"/>
  <c r="AK20" i="22"/>
  <c r="AL20" i="22"/>
  <c r="AM20" i="22"/>
  <c r="AN20" i="22"/>
  <c r="AO20" i="22"/>
  <c r="AP20" i="22"/>
  <c r="AQ20" i="22"/>
  <c r="AR20" i="22"/>
  <c r="AS20" i="22"/>
  <c r="AT20" i="22"/>
  <c r="AU20" i="22"/>
  <c r="A21" i="22"/>
  <c r="B21" i="22"/>
  <c r="C21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AA21" i="22"/>
  <c r="AB21" i="22"/>
  <c r="AC21" i="22"/>
  <c r="AD21" i="22"/>
  <c r="AE21" i="22"/>
  <c r="AF21" i="22"/>
  <c r="AG21" i="22"/>
  <c r="AH21" i="22"/>
  <c r="AI21" i="22"/>
  <c r="AJ21" i="22"/>
  <c r="AK21" i="22"/>
  <c r="AL21" i="22"/>
  <c r="AM21" i="22"/>
  <c r="AN21" i="22"/>
  <c r="AO21" i="22"/>
  <c r="AP21" i="22"/>
  <c r="AQ21" i="22"/>
  <c r="AR21" i="22"/>
  <c r="AS21" i="22"/>
  <c r="AT21" i="22"/>
  <c r="AU21" i="22"/>
  <c r="A22" i="22"/>
  <c r="B22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AA22" i="22"/>
  <c r="AB22" i="22"/>
  <c r="AC22" i="22"/>
  <c r="AD22" i="22"/>
  <c r="AE22" i="22"/>
  <c r="AF22" i="22"/>
  <c r="AG22" i="22"/>
  <c r="AH22" i="22"/>
  <c r="AI22" i="22"/>
  <c r="AJ22" i="22"/>
  <c r="AK22" i="22"/>
  <c r="AL22" i="22"/>
  <c r="AM22" i="22"/>
  <c r="AN22" i="22"/>
  <c r="AO22" i="22"/>
  <c r="AP22" i="22"/>
  <c r="AQ22" i="22"/>
  <c r="AR22" i="22"/>
  <c r="AS22" i="22"/>
  <c r="AT22" i="22"/>
  <c r="AU22" i="22"/>
  <c r="A23" i="22"/>
  <c r="B23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Z23" i="22"/>
  <c r="AA23" i="22"/>
  <c r="AB23" i="22"/>
  <c r="AC23" i="22"/>
  <c r="AD23" i="22"/>
  <c r="AE23" i="22"/>
  <c r="AF23" i="22"/>
  <c r="AG23" i="22"/>
  <c r="AH23" i="22"/>
  <c r="AI23" i="22"/>
  <c r="AJ23" i="22"/>
  <c r="AK23" i="22"/>
  <c r="AL23" i="22"/>
  <c r="AM23" i="22"/>
  <c r="AN23" i="22"/>
  <c r="AO23" i="22"/>
  <c r="AP23" i="22"/>
  <c r="AQ23" i="22"/>
  <c r="AR23" i="22"/>
  <c r="AS23" i="22"/>
  <c r="AT23" i="22"/>
  <c r="AU23" i="22"/>
  <c r="A24" i="22"/>
  <c r="B24" i="22"/>
  <c r="C24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S24" i="22"/>
  <c r="T24" i="22"/>
  <c r="U24" i="22"/>
  <c r="V24" i="22"/>
  <c r="W24" i="22"/>
  <c r="X24" i="22"/>
  <c r="Y24" i="22"/>
  <c r="Z24" i="22"/>
  <c r="AA24" i="22"/>
  <c r="AB24" i="22"/>
  <c r="AC24" i="22"/>
  <c r="AD24" i="22"/>
  <c r="AE24" i="22"/>
  <c r="AF24" i="22"/>
  <c r="AG24" i="22"/>
  <c r="AH24" i="22"/>
  <c r="AI24" i="22"/>
  <c r="AJ24" i="22"/>
  <c r="AK24" i="22"/>
  <c r="AL24" i="22"/>
  <c r="AM24" i="22"/>
  <c r="AN24" i="22"/>
  <c r="AO24" i="22"/>
  <c r="AP24" i="22"/>
  <c r="AQ24" i="22"/>
  <c r="AR24" i="22"/>
  <c r="AS24" i="22"/>
  <c r="AT24" i="22"/>
  <c r="AU24" i="22"/>
  <c r="A25" i="22"/>
  <c r="B25" i="22"/>
  <c r="C25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P25" i="22"/>
  <c r="Q25" i="22"/>
  <c r="R25" i="22"/>
  <c r="S25" i="22"/>
  <c r="T25" i="22"/>
  <c r="U25" i="22"/>
  <c r="V25" i="22"/>
  <c r="W25" i="22"/>
  <c r="X25" i="22"/>
  <c r="Y25" i="22"/>
  <c r="Z25" i="22"/>
  <c r="AA25" i="22"/>
  <c r="AB25" i="22"/>
  <c r="AC25" i="22"/>
  <c r="AD25" i="22"/>
  <c r="AE25" i="22"/>
  <c r="AF25" i="22"/>
  <c r="AG25" i="22"/>
  <c r="AH25" i="22"/>
  <c r="AI25" i="22"/>
  <c r="AJ25" i="22"/>
  <c r="AK25" i="22"/>
  <c r="AL25" i="22"/>
  <c r="AM25" i="22"/>
  <c r="AN25" i="22"/>
  <c r="AO25" i="22"/>
  <c r="AP25" i="22"/>
  <c r="AQ25" i="22"/>
  <c r="AR25" i="22"/>
  <c r="AS25" i="22"/>
  <c r="AT25" i="22"/>
  <c r="AU25" i="22"/>
  <c r="A26" i="22"/>
  <c r="B26" i="22"/>
  <c r="C26" i="22"/>
  <c r="D26" i="22"/>
  <c r="E26" i="22"/>
  <c r="F26" i="22"/>
  <c r="G26" i="22"/>
  <c r="H26" i="22"/>
  <c r="I26" i="22"/>
  <c r="J26" i="22"/>
  <c r="K26" i="22"/>
  <c r="L26" i="22"/>
  <c r="M26" i="22"/>
  <c r="N26" i="22"/>
  <c r="O26" i="22"/>
  <c r="P26" i="22"/>
  <c r="Q26" i="22"/>
  <c r="R26" i="22"/>
  <c r="S26" i="22"/>
  <c r="T26" i="22"/>
  <c r="U26" i="22"/>
  <c r="V26" i="22"/>
  <c r="W26" i="22"/>
  <c r="X26" i="22"/>
  <c r="Y26" i="22"/>
  <c r="Z26" i="22"/>
  <c r="AA26" i="22"/>
  <c r="AB26" i="22"/>
  <c r="AC26" i="22"/>
  <c r="AD26" i="22"/>
  <c r="AE26" i="22"/>
  <c r="AF26" i="22"/>
  <c r="AG26" i="22"/>
  <c r="AH26" i="22"/>
  <c r="AI26" i="22"/>
  <c r="AJ26" i="22"/>
  <c r="AK26" i="22"/>
  <c r="AL26" i="22"/>
  <c r="AM26" i="22"/>
  <c r="AN26" i="22"/>
  <c r="AO26" i="22"/>
  <c r="AP26" i="22"/>
  <c r="AQ26" i="22"/>
  <c r="AR26" i="22"/>
  <c r="AS26" i="22"/>
  <c r="AT26" i="22"/>
  <c r="AU26" i="22"/>
  <c r="A6" i="22"/>
  <c r="B6" i="9"/>
  <c r="C6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AN6" i="9"/>
  <c r="AO6" i="9"/>
  <c r="AP6" i="9"/>
  <c r="AQ6" i="9"/>
  <c r="AR6" i="9"/>
  <c r="AS6" i="9"/>
  <c r="AT6" i="9"/>
  <c r="AU6" i="9"/>
  <c r="A7" i="9"/>
  <c r="B7" i="9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AS7" i="9"/>
  <c r="AT7" i="9"/>
  <c r="AU7" i="9"/>
  <c r="A8" i="9"/>
  <c r="B8" i="9"/>
  <c r="C8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AR8" i="9"/>
  <c r="AS8" i="9"/>
  <c r="AT8" i="9"/>
  <c r="AU8" i="9"/>
  <c r="A9" i="9"/>
  <c r="B9" i="9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R9" i="9"/>
  <c r="AS9" i="9"/>
  <c r="AT9" i="9"/>
  <c r="AU9" i="9"/>
  <c r="A10" i="9"/>
  <c r="B10" i="9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AN10" i="9"/>
  <c r="AO10" i="9"/>
  <c r="AP10" i="9"/>
  <c r="AQ10" i="9"/>
  <c r="AR10" i="9"/>
  <c r="AS10" i="9"/>
  <c r="AT10" i="9"/>
  <c r="AU10" i="9"/>
  <c r="A11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AO11" i="9"/>
  <c r="AP11" i="9"/>
  <c r="AQ11" i="9"/>
  <c r="AR11" i="9"/>
  <c r="AS11" i="9"/>
  <c r="AT11" i="9"/>
  <c r="AU11" i="9"/>
  <c r="A12" i="9"/>
  <c r="B12" i="9"/>
  <c r="C12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13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AN13" i="9"/>
  <c r="AO13" i="9"/>
  <c r="AP13" i="9"/>
  <c r="AQ13" i="9"/>
  <c r="AR13" i="9"/>
  <c r="AS13" i="9"/>
  <c r="AT13" i="9"/>
  <c r="AU13" i="9"/>
  <c r="A14" i="9"/>
  <c r="B14" i="9"/>
  <c r="C14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15" i="9"/>
  <c r="B15" i="9"/>
  <c r="C15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16" i="9"/>
  <c r="B16" i="9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17" i="9"/>
  <c r="B17" i="9"/>
  <c r="C17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18" i="9"/>
  <c r="B18" i="9"/>
  <c r="C18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19" i="9"/>
  <c r="B19" i="9"/>
  <c r="C19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20" i="9"/>
  <c r="B20" i="9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21" i="9"/>
  <c r="B21" i="9"/>
  <c r="C21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22" i="9"/>
  <c r="B22" i="9"/>
  <c r="C22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23" i="9"/>
  <c r="B23" i="9"/>
  <c r="C23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24" i="9"/>
  <c r="B24" i="9"/>
  <c r="C24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25" i="9"/>
  <c r="B25" i="9"/>
  <c r="C25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26" i="9"/>
  <c r="B26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27" i="9"/>
  <c r="B27" i="9"/>
  <c r="C27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6" i="9"/>
  <c r="B6" i="20"/>
  <c r="C6" i="20"/>
  <c r="D6" i="20"/>
  <c r="E6" i="20"/>
  <c r="F6" i="20"/>
  <c r="G6" i="20"/>
  <c r="H6" i="20"/>
  <c r="I6" i="20"/>
  <c r="J6" i="20"/>
  <c r="K6" i="20"/>
  <c r="L6" i="20"/>
  <c r="M6" i="20"/>
  <c r="N6" i="20"/>
  <c r="O6" i="20"/>
  <c r="P6" i="20"/>
  <c r="Q6" i="20"/>
  <c r="R6" i="20"/>
  <c r="S6" i="20"/>
  <c r="T6" i="20"/>
  <c r="U6" i="20"/>
  <c r="V6" i="20"/>
  <c r="W6" i="20"/>
  <c r="X6" i="20"/>
  <c r="Y6" i="20"/>
  <c r="Z6" i="20"/>
  <c r="AA6" i="20"/>
  <c r="AB6" i="20"/>
  <c r="AC6" i="20"/>
  <c r="AD6" i="20"/>
  <c r="AE6" i="20"/>
  <c r="AF6" i="20"/>
  <c r="AG6" i="20"/>
  <c r="AH6" i="20"/>
  <c r="AI6" i="20"/>
  <c r="AJ6" i="20"/>
  <c r="AK6" i="20"/>
  <c r="AL6" i="20"/>
  <c r="AM6" i="20"/>
  <c r="AN6" i="20"/>
  <c r="AO6" i="20"/>
  <c r="AP6" i="20"/>
  <c r="AQ6" i="20"/>
  <c r="AR6" i="20"/>
  <c r="AS6" i="20"/>
  <c r="AT6" i="20"/>
  <c r="AU6" i="20"/>
  <c r="A7" i="20"/>
  <c r="B7" i="20"/>
  <c r="C7" i="20"/>
  <c r="D7" i="20"/>
  <c r="E7" i="20"/>
  <c r="F7" i="20"/>
  <c r="G7" i="20"/>
  <c r="H7" i="20"/>
  <c r="I7" i="20"/>
  <c r="J7" i="20"/>
  <c r="K7" i="20"/>
  <c r="L7" i="20"/>
  <c r="M7" i="20"/>
  <c r="N7" i="20"/>
  <c r="O7" i="20"/>
  <c r="P7" i="20"/>
  <c r="Q7" i="20"/>
  <c r="R7" i="20"/>
  <c r="S7" i="20"/>
  <c r="T7" i="20"/>
  <c r="U7" i="20"/>
  <c r="V7" i="20"/>
  <c r="W7" i="20"/>
  <c r="X7" i="20"/>
  <c r="Y7" i="20"/>
  <c r="Z7" i="20"/>
  <c r="AA7" i="20"/>
  <c r="AB7" i="20"/>
  <c r="AC7" i="20"/>
  <c r="AD7" i="20"/>
  <c r="AE7" i="20"/>
  <c r="AF7" i="20"/>
  <c r="AG7" i="20"/>
  <c r="AH7" i="20"/>
  <c r="AI7" i="20"/>
  <c r="AJ7" i="20"/>
  <c r="AK7" i="20"/>
  <c r="AL7" i="20"/>
  <c r="AM7" i="20"/>
  <c r="AN7" i="20"/>
  <c r="AO7" i="20"/>
  <c r="AP7" i="20"/>
  <c r="AQ7" i="20"/>
  <c r="AR7" i="20"/>
  <c r="AS7" i="20"/>
  <c r="AT7" i="20"/>
  <c r="AU7" i="20"/>
  <c r="A8" i="20"/>
  <c r="B8" i="20"/>
  <c r="C8" i="20"/>
  <c r="D8" i="20"/>
  <c r="E8" i="20"/>
  <c r="F8" i="20"/>
  <c r="G8" i="20"/>
  <c r="H8" i="20"/>
  <c r="I8" i="20"/>
  <c r="J8" i="20"/>
  <c r="K8" i="20"/>
  <c r="L8" i="20"/>
  <c r="M8" i="20"/>
  <c r="N8" i="20"/>
  <c r="O8" i="20"/>
  <c r="P8" i="20"/>
  <c r="Q8" i="20"/>
  <c r="R8" i="20"/>
  <c r="S8" i="20"/>
  <c r="T8" i="20"/>
  <c r="U8" i="20"/>
  <c r="V8" i="20"/>
  <c r="W8" i="20"/>
  <c r="X8" i="20"/>
  <c r="Y8" i="20"/>
  <c r="Z8" i="20"/>
  <c r="AA8" i="20"/>
  <c r="AB8" i="20"/>
  <c r="AC8" i="20"/>
  <c r="AD8" i="20"/>
  <c r="AE8" i="20"/>
  <c r="AF8" i="20"/>
  <c r="AG8" i="20"/>
  <c r="AH8" i="20"/>
  <c r="AI8" i="20"/>
  <c r="AJ8" i="20"/>
  <c r="AK8" i="20"/>
  <c r="AL8" i="20"/>
  <c r="AM8" i="20"/>
  <c r="AN8" i="20"/>
  <c r="AO8" i="20"/>
  <c r="AP8" i="20"/>
  <c r="AQ8" i="20"/>
  <c r="AR8" i="20"/>
  <c r="AS8" i="20"/>
  <c r="AT8" i="20"/>
  <c r="AU8" i="20"/>
  <c r="A9" i="20"/>
  <c r="B9" i="20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AH9" i="20"/>
  <c r="AI9" i="20"/>
  <c r="AJ9" i="20"/>
  <c r="AK9" i="20"/>
  <c r="AL9" i="20"/>
  <c r="AM9" i="20"/>
  <c r="AN9" i="20"/>
  <c r="AO9" i="20"/>
  <c r="AP9" i="20"/>
  <c r="AQ9" i="20"/>
  <c r="AR9" i="20"/>
  <c r="AS9" i="20"/>
  <c r="AT9" i="20"/>
  <c r="AU9" i="20"/>
  <c r="A10" i="20"/>
  <c r="B10" i="20"/>
  <c r="C10" i="20"/>
  <c r="D10" i="20"/>
  <c r="E10" i="20"/>
  <c r="F10" i="20"/>
  <c r="G10" i="20"/>
  <c r="H10" i="20"/>
  <c r="I10" i="20"/>
  <c r="J10" i="20"/>
  <c r="K10" i="20"/>
  <c r="L10" i="20"/>
  <c r="M10" i="20"/>
  <c r="N10" i="20"/>
  <c r="O10" i="20"/>
  <c r="P10" i="20"/>
  <c r="Q10" i="20"/>
  <c r="R10" i="20"/>
  <c r="S10" i="20"/>
  <c r="T10" i="20"/>
  <c r="U10" i="20"/>
  <c r="V10" i="20"/>
  <c r="W10" i="20"/>
  <c r="X10" i="20"/>
  <c r="Y10" i="20"/>
  <c r="Z10" i="20"/>
  <c r="AA10" i="20"/>
  <c r="AB10" i="20"/>
  <c r="AC10" i="20"/>
  <c r="AD10" i="20"/>
  <c r="AE10" i="20"/>
  <c r="AF10" i="20"/>
  <c r="AG10" i="20"/>
  <c r="AH10" i="20"/>
  <c r="AI10" i="20"/>
  <c r="AJ10" i="20"/>
  <c r="AK10" i="20"/>
  <c r="AL10" i="20"/>
  <c r="AM10" i="20"/>
  <c r="AN10" i="20"/>
  <c r="AO10" i="20"/>
  <c r="AP10" i="20"/>
  <c r="AQ10" i="20"/>
  <c r="AR10" i="20"/>
  <c r="AS10" i="20"/>
  <c r="AT10" i="20"/>
  <c r="AU10" i="20"/>
  <c r="A11" i="20"/>
  <c r="B11" i="20"/>
  <c r="C11" i="20"/>
  <c r="D11" i="20"/>
  <c r="E11" i="20"/>
  <c r="F11" i="20"/>
  <c r="G11" i="20"/>
  <c r="H11" i="20"/>
  <c r="I11" i="20"/>
  <c r="J11" i="20"/>
  <c r="K11" i="20"/>
  <c r="L11" i="20"/>
  <c r="M11" i="20"/>
  <c r="N11" i="20"/>
  <c r="O11" i="20"/>
  <c r="P11" i="20"/>
  <c r="Q11" i="20"/>
  <c r="R11" i="20"/>
  <c r="S11" i="20"/>
  <c r="T11" i="20"/>
  <c r="U11" i="20"/>
  <c r="V11" i="20"/>
  <c r="W11" i="20"/>
  <c r="X11" i="20"/>
  <c r="Y11" i="20"/>
  <c r="Z11" i="20"/>
  <c r="AA11" i="20"/>
  <c r="AB11" i="20"/>
  <c r="AC11" i="20"/>
  <c r="AD11" i="20"/>
  <c r="AE11" i="20"/>
  <c r="AF11" i="20"/>
  <c r="AG11" i="20"/>
  <c r="AH11" i="20"/>
  <c r="AI11" i="20"/>
  <c r="AJ11" i="20"/>
  <c r="AK11" i="20"/>
  <c r="AL11" i="20"/>
  <c r="AM11" i="20"/>
  <c r="AN11" i="20"/>
  <c r="AO11" i="20"/>
  <c r="AP11" i="20"/>
  <c r="AQ11" i="20"/>
  <c r="AR11" i="20"/>
  <c r="AS11" i="20"/>
  <c r="AT11" i="20"/>
  <c r="AU11" i="20"/>
  <c r="A12" i="20"/>
  <c r="B12" i="20"/>
  <c r="C12" i="20"/>
  <c r="D12" i="20"/>
  <c r="E12" i="20"/>
  <c r="F12" i="20"/>
  <c r="G12" i="20"/>
  <c r="H12" i="20"/>
  <c r="I12" i="20"/>
  <c r="J12" i="20"/>
  <c r="K12" i="20"/>
  <c r="L12" i="20"/>
  <c r="M12" i="20"/>
  <c r="N12" i="20"/>
  <c r="O12" i="20"/>
  <c r="P12" i="20"/>
  <c r="Q12" i="20"/>
  <c r="R12" i="20"/>
  <c r="S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AG12" i="20"/>
  <c r="AH12" i="20"/>
  <c r="AI12" i="20"/>
  <c r="AJ12" i="20"/>
  <c r="AK12" i="20"/>
  <c r="AL12" i="20"/>
  <c r="AM12" i="20"/>
  <c r="AN12" i="20"/>
  <c r="AO12" i="20"/>
  <c r="AP12" i="20"/>
  <c r="AQ12" i="20"/>
  <c r="AR12" i="20"/>
  <c r="AS12" i="20"/>
  <c r="AT12" i="20"/>
  <c r="AU12" i="20"/>
  <c r="A13" i="20"/>
  <c r="B13" i="20"/>
  <c r="C13" i="20"/>
  <c r="D13" i="20"/>
  <c r="E13" i="20"/>
  <c r="F13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AG13" i="20"/>
  <c r="AH13" i="20"/>
  <c r="AI13" i="20"/>
  <c r="AJ13" i="20"/>
  <c r="AK13" i="20"/>
  <c r="AL13" i="20"/>
  <c r="AM13" i="20"/>
  <c r="AN13" i="20"/>
  <c r="AO13" i="20"/>
  <c r="AP13" i="20"/>
  <c r="AQ13" i="20"/>
  <c r="AR13" i="20"/>
  <c r="AS13" i="20"/>
  <c r="AT13" i="20"/>
  <c r="AU13" i="20"/>
  <c r="A14" i="20"/>
  <c r="B14" i="20"/>
  <c r="C14" i="20"/>
  <c r="D14" i="20"/>
  <c r="E14" i="20"/>
  <c r="F14" i="20"/>
  <c r="G14" i="20"/>
  <c r="H14" i="20"/>
  <c r="I14" i="20"/>
  <c r="J14" i="20"/>
  <c r="K14" i="20"/>
  <c r="L14" i="20"/>
  <c r="M14" i="20"/>
  <c r="N14" i="20"/>
  <c r="O14" i="20"/>
  <c r="P14" i="20"/>
  <c r="Q14" i="20"/>
  <c r="R14" i="20"/>
  <c r="S14" i="20"/>
  <c r="T14" i="20"/>
  <c r="U14" i="20"/>
  <c r="V14" i="20"/>
  <c r="W14" i="20"/>
  <c r="X14" i="20"/>
  <c r="Y14" i="20"/>
  <c r="Z14" i="20"/>
  <c r="AA14" i="20"/>
  <c r="AB14" i="20"/>
  <c r="AC14" i="20"/>
  <c r="AD14" i="20"/>
  <c r="AE14" i="20"/>
  <c r="AF14" i="20"/>
  <c r="AG14" i="20"/>
  <c r="AH14" i="20"/>
  <c r="AI14" i="20"/>
  <c r="AJ14" i="20"/>
  <c r="AK14" i="20"/>
  <c r="AL14" i="20"/>
  <c r="AM14" i="20"/>
  <c r="AN14" i="20"/>
  <c r="AO14" i="20"/>
  <c r="AP14" i="20"/>
  <c r="AQ14" i="20"/>
  <c r="AR14" i="20"/>
  <c r="AS14" i="20"/>
  <c r="AT14" i="20"/>
  <c r="AU14" i="20"/>
  <c r="A15" i="20"/>
  <c r="B15" i="20"/>
  <c r="C15" i="20"/>
  <c r="D15" i="20"/>
  <c r="E15" i="20"/>
  <c r="F15" i="20"/>
  <c r="G15" i="20"/>
  <c r="H15" i="20"/>
  <c r="I15" i="20"/>
  <c r="J15" i="20"/>
  <c r="K15" i="20"/>
  <c r="L15" i="20"/>
  <c r="M15" i="20"/>
  <c r="N15" i="20"/>
  <c r="O15" i="20"/>
  <c r="P15" i="20"/>
  <c r="Q15" i="20"/>
  <c r="R15" i="20"/>
  <c r="S15" i="20"/>
  <c r="T15" i="20"/>
  <c r="U15" i="20"/>
  <c r="V15" i="20"/>
  <c r="W15" i="20"/>
  <c r="X15" i="20"/>
  <c r="Y15" i="20"/>
  <c r="Z15" i="20"/>
  <c r="AA15" i="20"/>
  <c r="AB15" i="20"/>
  <c r="AC15" i="20"/>
  <c r="AD15" i="20"/>
  <c r="AE15" i="20"/>
  <c r="AF15" i="20"/>
  <c r="AG15" i="20"/>
  <c r="AH15" i="20"/>
  <c r="AI15" i="20"/>
  <c r="AJ15" i="20"/>
  <c r="AK15" i="20"/>
  <c r="AL15" i="20"/>
  <c r="AM15" i="20"/>
  <c r="AN15" i="20"/>
  <c r="AO15" i="20"/>
  <c r="AP15" i="20"/>
  <c r="AQ15" i="20"/>
  <c r="AR15" i="20"/>
  <c r="AS15" i="20"/>
  <c r="AT15" i="20"/>
  <c r="AU15" i="20"/>
  <c r="A16" i="20"/>
  <c r="B16" i="20"/>
  <c r="C16" i="20"/>
  <c r="D16" i="20"/>
  <c r="E16" i="20"/>
  <c r="F16" i="20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AF16" i="20"/>
  <c r="AG16" i="20"/>
  <c r="AH16" i="20"/>
  <c r="AI16" i="20"/>
  <c r="AJ16" i="20"/>
  <c r="AK16" i="20"/>
  <c r="AL16" i="20"/>
  <c r="AM16" i="20"/>
  <c r="AN16" i="20"/>
  <c r="AO16" i="20"/>
  <c r="AP16" i="20"/>
  <c r="AQ16" i="20"/>
  <c r="AR16" i="20"/>
  <c r="AS16" i="20"/>
  <c r="AT16" i="20"/>
  <c r="AU16" i="20"/>
  <c r="A17" i="20"/>
  <c r="B17" i="20"/>
  <c r="C17" i="20"/>
  <c r="D17" i="20"/>
  <c r="E17" i="20"/>
  <c r="F17" i="20"/>
  <c r="G17" i="20"/>
  <c r="H17" i="20"/>
  <c r="I17" i="20"/>
  <c r="J17" i="20"/>
  <c r="K17" i="20"/>
  <c r="L17" i="20"/>
  <c r="M17" i="20"/>
  <c r="N17" i="20"/>
  <c r="O17" i="20"/>
  <c r="P17" i="20"/>
  <c r="Q17" i="20"/>
  <c r="R17" i="20"/>
  <c r="S17" i="20"/>
  <c r="T17" i="20"/>
  <c r="U17" i="20"/>
  <c r="V17" i="20"/>
  <c r="W17" i="20"/>
  <c r="X17" i="20"/>
  <c r="Y17" i="20"/>
  <c r="Z17" i="20"/>
  <c r="AA17" i="20"/>
  <c r="AB17" i="20"/>
  <c r="AC17" i="20"/>
  <c r="AD17" i="20"/>
  <c r="AE17" i="20"/>
  <c r="AF17" i="20"/>
  <c r="AG17" i="20"/>
  <c r="AH17" i="20"/>
  <c r="AI17" i="20"/>
  <c r="AJ17" i="20"/>
  <c r="AK17" i="20"/>
  <c r="AL17" i="20"/>
  <c r="AM17" i="20"/>
  <c r="AN17" i="20"/>
  <c r="AO17" i="20"/>
  <c r="AP17" i="20"/>
  <c r="AQ17" i="20"/>
  <c r="AR17" i="20"/>
  <c r="AS17" i="20"/>
  <c r="AT17" i="20"/>
  <c r="AU17" i="20"/>
  <c r="A18" i="20"/>
  <c r="B18" i="20"/>
  <c r="C18" i="20"/>
  <c r="D18" i="20"/>
  <c r="E18" i="20"/>
  <c r="F18" i="20"/>
  <c r="G18" i="20"/>
  <c r="H18" i="20"/>
  <c r="I18" i="20"/>
  <c r="J18" i="20"/>
  <c r="K18" i="20"/>
  <c r="L18" i="20"/>
  <c r="M18" i="20"/>
  <c r="N18" i="20"/>
  <c r="O18" i="20"/>
  <c r="P18" i="20"/>
  <c r="Q18" i="20"/>
  <c r="R18" i="20"/>
  <c r="S18" i="20"/>
  <c r="T18" i="20"/>
  <c r="U18" i="20"/>
  <c r="V18" i="20"/>
  <c r="W18" i="20"/>
  <c r="X18" i="20"/>
  <c r="Y18" i="20"/>
  <c r="Z18" i="20"/>
  <c r="AA18" i="20"/>
  <c r="AB18" i="20"/>
  <c r="AC18" i="20"/>
  <c r="AD18" i="20"/>
  <c r="AE18" i="20"/>
  <c r="AF18" i="20"/>
  <c r="AG18" i="20"/>
  <c r="AH18" i="20"/>
  <c r="AI18" i="20"/>
  <c r="AJ18" i="20"/>
  <c r="AK18" i="20"/>
  <c r="AL18" i="20"/>
  <c r="AM18" i="20"/>
  <c r="AN18" i="20"/>
  <c r="AO18" i="20"/>
  <c r="AP18" i="20"/>
  <c r="AQ18" i="20"/>
  <c r="AR18" i="20"/>
  <c r="AS18" i="20"/>
  <c r="AT18" i="20"/>
  <c r="AU18" i="20"/>
  <c r="A19" i="20"/>
  <c r="B19" i="20"/>
  <c r="C19" i="20"/>
  <c r="D19" i="20"/>
  <c r="E19" i="20"/>
  <c r="F19" i="20"/>
  <c r="G19" i="20"/>
  <c r="H19" i="20"/>
  <c r="I19" i="20"/>
  <c r="J19" i="20"/>
  <c r="K19" i="20"/>
  <c r="L19" i="20"/>
  <c r="M19" i="20"/>
  <c r="N19" i="20"/>
  <c r="O19" i="20"/>
  <c r="P19" i="20"/>
  <c r="Q19" i="20"/>
  <c r="R19" i="20"/>
  <c r="S19" i="20"/>
  <c r="T19" i="20"/>
  <c r="U19" i="20"/>
  <c r="V19" i="20"/>
  <c r="W19" i="20"/>
  <c r="X19" i="20"/>
  <c r="Y19" i="20"/>
  <c r="Z19" i="20"/>
  <c r="AA19" i="20"/>
  <c r="AB19" i="20"/>
  <c r="AC19" i="20"/>
  <c r="AD19" i="20"/>
  <c r="AE19" i="20"/>
  <c r="AF19" i="20"/>
  <c r="AG19" i="20"/>
  <c r="AH19" i="20"/>
  <c r="AI19" i="20"/>
  <c r="AJ19" i="20"/>
  <c r="AK19" i="20"/>
  <c r="AL19" i="20"/>
  <c r="AM19" i="20"/>
  <c r="AN19" i="20"/>
  <c r="AO19" i="20"/>
  <c r="AP19" i="20"/>
  <c r="AQ19" i="20"/>
  <c r="AR19" i="20"/>
  <c r="AS19" i="20"/>
  <c r="AT19" i="20"/>
  <c r="AU19" i="20"/>
  <c r="A20" i="20"/>
  <c r="B20" i="20"/>
  <c r="C20" i="20"/>
  <c r="D20" i="20"/>
  <c r="E20" i="20"/>
  <c r="F20" i="20"/>
  <c r="G20" i="20"/>
  <c r="H20" i="20"/>
  <c r="I20" i="20"/>
  <c r="J20" i="20"/>
  <c r="K20" i="20"/>
  <c r="L20" i="20"/>
  <c r="M20" i="20"/>
  <c r="N20" i="20"/>
  <c r="O20" i="20"/>
  <c r="P20" i="20"/>
  <c r="Q20" i="20"/>
  <c r="R20" i="20"/>
  <c r="S20" i="20"/>
  <c r="T20" i="20"/>
  <c r="U20" i="20"/>
  <c r="V20" i="20"/>
  <c r="W20" i="20"/>
  <c r="X20" i="20"/>
  <c r="Y20" i="20"/>
  <c r="Z20" i="20"/>
  <c r="AA20" i="20"/>
  <c r="AB20" i="20"/>
  <c r="AC20" i="20"/>
  <c r="AD20" i="20"/>
  <c r="AE20" i="20"/>
  <c r="AF20" i="20"/>
  <c r="AG20" i="20"/>
  <c r="AH20" i="20"/>
  <c r="AI20" i="20"/>
  <c r="AJ20" i="20"/>
  <c r="AK20" i="20"/>
  <c r="AL20" i="20"/>
  <c r="AM20" i="20"/>
  <c r="AN20" i="20"/>
  <c r="AO20" i="20"/>
  <c r="AP20" i="20"/>
  <c r="AQ20" i="20"/>
  <c r="AR20" i="20"/>
  <c r="AS20" i="20"/>
  <c r="AT20" i="20"/>
  <c r="AU20" i="20"/>
  <c r="A21" i="20"/>
  <c r="B21" i="20"/>
  <c r="C21" i="20"/>
  <c r="D21" i="20"/>
  <c r="E21" i="20"/>
  <c r="F21" i="20"/>
  <c r="G21" i="20"/>
  <c r="H21" i="20"/>
  <c r="I21" i="20"/>
  <c r="J21" i="20"/>
  <c r="K21" i="20"/>
  <c r="L21" i="20"/>
  <c r="M21" i="20"/>
  <c r="N21" i="20"/>
  <c r="O21" i="20"/>
  <c r="P21" i="20"/>
  <c r="Q21" i="20"/>
  <c r="R21" i="20"/>
  <c r="S21" i="20"/>
  <c r="T21" i="20"/>
  <c r="U21" i="20"/>
  <c r="V21" i="20"/>
  <c r="W21" i="20"/>
  <c r="X21" i="20"/>
  <c r="Y21" i="20"/>
  <c r="Z21" i="20"/>
  <c r="AA21" i="20"/>
  <c r="AB21" i="20"/>
  <c r="AC21" i="20"/>
  <c r="AD21" i="20"/>
  <c r="AE21" i="20"/>
  <c r="AF21" i="20"/>
  <c r="AG21" i="20"/>
  <c r="AH21" i="20"/>
  <c r="AI21" i="20"/>
  <c r="AJ21" i="20"/>
  <c r="AK21" i="20"/>
  <c r="AL21" i="20"/>
  <c r="AM21" i="20"/>
  <c r="AN21" i="20"/>
  <c r="AO21" i="20"/>
  <c r="AP21" i="20"/>
  <c r="AQ21" i="20"/>
  <c r="AR21" i="20"/>
  <c r="AS21" i="20"/>
  <c r="AT21" i="20"/>
  <c r="AU21" i="20"/>
  <c r="A22" i="20"/>
  <c r="B22" i="20"/>
  <c r="C22" i="20"/>
  <c r="D22" i="20"/>
  <c r="E22" i="20"/>
  <c r="F22" i="20"/>
  <c r="G22" i="20"/>
  <c r="H22" i="20"/>
  <c r="I22" i="20"/>
  <c r="J22" i="20"/>
  <c r="K22" i="20"/>
  <c r="L22" i="20"/>
  <c r="M22" i="20"/>
  <c r="N22" i="20"/>
  <c r="O22" i="20"/>
  <c r="P22" i="20"/>
  <c r="Q22" i="20"/>
  <c r="R22" i="20"/>
  <c r="S22" i="20"/>
  <c r="T22" i="20"/>
  <c r="U22" i="20"/>
  <c r="V22" i="20"/>
  <c r="W22" i="20"/>
  <c r="X22" i="20"/>
  <c r="Y22" i="20"/>
  <c r="Z22" i="20"/>
  <c r="AA22" i="20"/>
  <c r="AB22" i="20"/>
  <c r="AC22" i="20"/>
  <c r="AD22" i="20"/>
  <c r="AE22" i="20"/>
  <c r="AF22" i="20"/>
  <c r="AG22" i="20"/>
  <c r="AH22" i="20"/>
  <c r="AI22" i="20"/>
  <c r="AJ22" i="20"/>
  <c r="AK22" i="20"/>
  <c r="AL22" i="20"/>
  <c r="AM22" i="20"/>
  <c r="AN22" i="20"/>
  <c r="AO22" i="20"/>
  <c r="AP22" i="20"/>
  <c r="AQ22" i="20"/>
  <c r="AR22" i="20"/>
  <c r="AS22" i="20"/>
  <c r="AT22" i="20"/>
  <c r="AU22" i="20"/>
  <c r="A23" i="20"/>
  <c r="B23" i="20"/>
  <c r="C23" i="20"/>
  <c r="D23" i="20"/>
  <c r="E23" i="20"/>
  <c r="F23" i="20"/>
  <c r="G23" i="20"/>
  <c r="H23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AF23" i="20"/>
  <c r="AG23" i="20"/>
  <c r="AH23" i="20"/>
  <c r="AI23" i="20"/>
  <c r="AJ23" i="20"/>
  <c r="AK23" i="20"/>
  <c r="AL23" i="20"/>
  <c r="AM23" i="20"/>
  <c r="AN23" i="20"/>
  <c r="AO23" i="20"/>
  <c r="AP23" i="20"/>
  <c r="AQ23" i="20"/>
  <c r="AR23" i="20"/>
  <c r="AS23" i="20"/>
  <c r="AT23" i="20"/>
  <c r="AU23" i="20"/>
  <c r="A24" i="20"/>
  <c r="B24" i="20"/>
  <c r="C24" i="20"/>
  <c r="D24" i="20"/>
  <c r="E24" i="20"/>
  <c r="F24" i="20"/>
  <c r="G24" i="20"/>
  <c r="H24" i="20"/>
  <c r="I24" i="20"/>
  <c r="J24" i="20"/>
  <c r="K24" i="20"/>
  <c r="L24" i="20"/>
  <c r="M24" i="20"/>
  <c r="N24" i="20"/>
  <c r="O24" i="20"/>
  <c r="P24" i="20"/>
  <c r="Q24" i="20"/>
  <c r="R24" i="20"/>
  <c r="S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AG24" i="20"/>
  <c r="AH24" i="20"/>
  <c r="AI24" i="20"/>
  <c r="AJ24" i="20"/>
  <c r="AK24" i="20"/>
  <c r="AL24" i="20"/>
  <c r="AM24" i="20"/>
  <c r="AN24" i="20"/>
  <c r="AO24" i="20"/>
  <c r="AP24" i="20"/>
  <c r="AQ24" i="20"/>
  <c r="AR24" i="20"/>
  <c r="AS24" i="20"/>
  <c r="AT24" i="20"/>
  <c r="AU24" i="20"/>
  <c r="A25" i="20"/>
  <c r="B25" i="20"/>
  <c r="C25" i="20"/>
  <c r="D25" i="20"/>
  <c r="E25" i="20"/>
  <c r="F25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V25" i="20"/>
  <c r="W25" i="20"/>
  <c r="X25" i="20"/>
  <c r="Y25" i="20"/>
  <c r="Z25" i="20"/>
  <c r="AA25" i="20"/>
  <c r="AB25" i="20"/>
  <c r="AC25" i="20"/>
  <c r="AD25" i="20"/>
  <c r="AE25" i="20"/>
  <c r="AF25" i="20"/>
  <c r="AG25" i="20"/>
  <c r="AH25" i="20"/>
  <c r="AI25" i="20"/>
  <c r="AJ25" i="20"/>
  <c r="AK25" i="20"/>
  <c r="AL25" i="20"/>
  <c r="AM25" i="20"/>
  <c r="AN25" i="20"/>
  <c r="AO25" i="20"/>
  <c r="AP25" i="20"/>
  <c r="AQ25" i="20"/>
  <c r="AR25" i="20"/>
  <c r="AS25" i="20"/>
  <c r="AT25" i="20"/>
  <c r="AU25" i="20"/>
  <c r="A26" i="20"/>
  <c r="B26" i="20"/>
  <c r="C26" i="20"/>
  <c r="D26" i="20"/>
  <c r="E26" i="20"/>
  <c r="F26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V26" i="20"/>
  <c r="W26" i="20"/>
  <c r="X26" i="20"/>
  <c r="Y26" i="20"/>
  <c r="Z26" i="20"/>
  <c r="AA26" i="20"/>
  <c r="AB26" i="20"/>
  <c r="AC26" i="20"/>
  <c r="AD26" i="20"/>
  <c r="AE26" i="20"/>
  <c r="AF26" i="20"/>
  <c r="AG26" i="20"/>
  <c r="AH26" i="20"/>
  <c r="AI26" i="20"/>
  <c r="AJ26" i="20"/>
  <c r="AK26" i="20"/>
  <c r="AL26" i="20"/>
  <c r="AM26" i="20"/>
  <c r="AN26" i="20"/>
  <c r="AO26" i="20"/>
  <c r="AP26" i="20"/>
  <c r="AQ26" i="20"/>
  <c r="AR26" i="20"/>
  <c r="AS26" i="20"/>
  <c r="AT26" i="20"/>
  <c r="AU26" i="20"/>
  <c r="A6" i="20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Q8" i="11"/>
  <c r="AR8" i="11"/>
  <c r="AS8" i="11"/>
  <c r="AT8" i="11"/>
  <c r="AU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AS11" i="11"/>
  <c r="AT11" i="11"/>
  <c r="AU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AU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P13" i="11"/>
  <c r="AQ13" i="11"/>
  <c r="AR13" i="11"/>
  <c r="AS13" i="11"/>
  <c r="AT13" i="11"/>
  <c r="AU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T14" i="11"/>
  <c r="AU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AN15" i="11"/>
  <c r="AO15" i="11"/>
  <c r="AP15" i="11"/>
  <c r="AQ15" i="11"/>
  <c r="AR15" i="11"/>
  <c r="AS15" i="11"/>
  <c r="AT15" i="11"/>
  <c r="AU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Q16" i="11"/>
  <c r="AR16" i="11"/>
  <c r="AS16" i="11"/>
  <c r="AT16" i="11"/>
  <c r="AU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6" i="11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7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8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9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10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11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12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13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14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15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16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17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18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19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20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21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22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23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24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25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26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27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28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29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30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31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32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33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34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35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36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37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38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39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40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41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42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43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44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45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6" i="5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Y6" i="17"/>
  <c r="Z6" i="17"/>
  <c r="AA6" i="17"/>
  <c r="AB6" i="17"/>
  <c r="AC6" i="17"/>
  <c r="AD6" i="17"/>
  <c r="AE6" i="17"/>
  <c r="AF6" i="17"/>
  <c r="AG6" i="17"/>
  <c r="AH6" i="17"/>
  <c r="AI6" i="17"/>
  <c r="AJ6" i="17"/>
  <c r="AK6" i="17"/>
  <c r="AL6" i="17"/>
  <c r="AM6" i="17"/>
  <c r="AN6" i="17"/>
  <c r="AO6" i="17"/>
  <c r="AP6" i="17"/>
  <c r="AQ6" i="17"/>
  <c r="AR6" i="17"/>
  <c r="AS6" i="17"/>
  <c r="AT6" i="17"/>
  <c r="AU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AE7" i="17"/>
  <c r="AF7" i="17"/>
  <c r="AG7" i="17"/>
  <c r="AH7" i="17"/>
  <c r="AI7" i="17"/>
  <c r="AJ7" i="17"/>
  <c r="AK7" i="17"/>
  <c r="AL7" i="17"/>
  <c r="AM7" i="17"/>
  <c r="AN7" i="17"/>
  <c r="AO7" i="17"/>
  <c r="AP7" i="17"/>
  <c r="AQ7" i="17"/>
  <c r="AR7" i="17"/>
  <c r="AS7" i="17"/>
  <c r="AT7" i="17"/>
  <c r="AU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AH9" i="17"/>
  <c r="AI9" i="17"/>
  <c r="AJ9" i="17"/>
  <c r="AK9" i="17"/>
  <c r="AL9" i="17"/>
  <c r="AM9" i="17"/>
  <c r="AN9" i="17"/>
  <c r="AO9" i="17"/>
  <c r="AP9" i="17"/>
  <c r="AQ9" i="17"/>
  <c r="AR9" i="17"/>
  <c r="AS9" i="17"/>
  <c r="AT9" i="17"/>
  <c r="AU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AG10" i="17"/>
  <c r="AH10" i="17"/>
  <c r="AI10" i="17"/>
  <c r="AJ10" i="17"/>
  <c r="AK10" i="17"/>
  <c r="AL10" i="17"/>
  <c r="AM10" i="17"/>
  <c r="AN10" i="17"/>
  <c r="AO10" i="17"/>
  <c r="AP10" i="17"/>
  <c r="AQ10" i="17"/>
  <c r="AR10" i="17"/>
  <c r="AS10" i="17"/>
  <c r="AT10" i="17"/>
  <c r="AU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Y11" i="17"/>
  <c r="Z11" i="17"/>
  <c r="AA11" i="17"/>
  <c r="AB11" i="17"/>
  <c r="AC11" i="17"/>
  <c r="AD11" i="17"/>
  <c r="AE11" i="17"/>
  <c r="AF11" i="17"/>
  <c r="AG11" i="17"/>
  <c r="AH11" i="17"/>
  <c r="AI11" i="17"/>
  <c r="AJ11" i="17"/>
  <c r="AK11" i="17"/>
  <c r="AL11" i="17"/>
  <c r="AM11" i="17"/>
  <c r="AN11" i="17"/>
  <c r="AO11" i="17"/>
  <c r="AP11" i="17"/>
  <c r="AQ11" i="17"/>
  <c r="AR11" i="17"/>
  <c r="AS11" i="17"/>
  <c r="AT11" i="17"/>
  <c r="AU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Y12" i="17"/>
  <c r="Z12" i="17"/>
  <c r="AA12" i="17"/>
  <c r="AB12" i="17"/>
  <c r="AC12" i="17"/>
  <c r="AD12" i="17"/>
  <c r="AE12" i="17"/>
  <c r="AF12" i="17"/>
  <c r="AG12" i="17"/>
  <c r="AH12" i="17"/>
  <c r="AI12" i="17"/>
  <c r="AJ12" i="17"/>
  <c r="AK12" i="17"/>
  <c r="AL12" i="17"/>
  <c r="AM12" i="17"/>
  <c r="AN12" i="17"/>
  <c r="AO12" i="17"/>
  <c r="AP12" i="17"/>
  <c r="AQ12" i="17"/>
  <c r="AR12" i="17"/>
  <c r="AS12" i="17"/>
  <c r="AT12" i="17"/>
  <c r="AU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Y13" i="17"/>
  <c r="Z13" i="17"/>
  <c r="AA13" i="17"/>
  <c r="AB13" i="17"/>
  <c r="AC13" i="17"/>
  <c r="AD13" i="17"/>
  <c r="AE13" i="17"/>
  <c r="AF13" i="17"/>
  <c r="AG13" i="17"/>
  <c r="AH13" i="17"/>
  <c r="AI13" i="17"/>
  <c r="AJ13" i="17"/>
  <c r="AK13" i="17"/>
  <c r="AL13" i="17"/>
  <c r="AM13" i="17"/>
  <c r="AN13" i="17"/>
  <c r="AO13" i="17"/>
  <c r="AP13" i="17"/>
  <c r="AQ13" i="17"/>
  <c r="AR13" i="17"/>
  <c r="AS13" i="17"/>
  <c r="AT13" i="17"/>
  <c r="AU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AA14" i="17"/>
  <c r="AB14" i="17"/>
  <c r="AC14" i="17"/>
  <c r="AD14" i="17"/>
  <c r="AE14" i="17"/>
  <c r="AF14" i="17"/>
  <c r="AG14" i="17"/>
  <c r="AH14" i="17"/>
  <c r="AI14" i="17"/>
  <c r="AJ14" i="17"/>
  <c r="AK14" i="17"/>
  <c r="AL14" i="17"/>
  <c r="AM14" i="17"/>
  <c r="AN14" i="17"/>
  <c r="AO14" i="17"/>
  <c r="AP14" i="17"/>
  <c r="AQ14" i="17"/>
  <c r="AR14" i="17"/>
  <c r="AS14" i="17"/>
  <c r="AT14" i="17"/>
  <c r="AU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Y15" i="17"/>
  <c r="Z15" i="17"/>
  <c r="AA15" i="17"/>
  <c r="AB15" i="17"/>
  <c r="AC15" i="17"/>
  <c r="AD15" i="17"/>
  <c r="AE15" i="17"/>
  <c r="AF15" i="17"/>
  <c r="AG15" i="17"/>
  <c r="AH15" i="17"/>
  <c r="AI15" i="17"/>
  <c r="AJ15" i="17"/>
  <c r="AK15" i="17"/>
  <c r="AL15" i="17"/>
  <c r="AM15" i="17"/>
  <c r="AN15" i="17"/>
  <c r="AO15" i="17"/>
  <c r="AP15" i="17"/>
  <c r="AQ15" i="17"/>
  <c r="AR15" i="17"/>
  <c r="AS15" i="17"/>
  <c r="AT15" i="17"/>
  <c r="AU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Y16" i="17"/>
  <c r="Z16" i="17"/>
  <c r="AA16" i="17"/>
  <c r="AB16" i="17"/>
  <c r="AC16" i="17"/>
  <c r="AD16" i="17"/>
  <c r="AE16" i="17"/>
  <c r="AF16" i="17"/>
  <c r="AG16" i="17"/>
  <c r="AH16" i="17"/>
  <c r="AI16" i="17"/>
  <c r="AJ16" i="17"/>
  <c r="AK16" i="17"/>
  <c r="AL16" i="17"/>
  <c r="AM16" i="17"/>
  <c r="AN16" i="17"/>
  <c r="AO16" i="17"/>
  <c r="AP16" i="17"/>
  <c r="AQ16" i="17"/>
  <c r="AR16" i="17"/>
  <c r="AS16" i="17"/>
  <c r="AT16" i="17"/>
  <c r="AU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Y17" i="17"/>
  <c r="Z17" i="17"/>
  <c r="AA17" i="17"/>
  <c r="AB17" i="17"/>
  <c r="AC17" i="17"/>
  <c r="AD17" i="17"/>
  <c r="AE17" i="17"/>
  <c r="AF17" i="17"/>
  <c r="AG17" i="17"/>
  <c r="AH17" i="17"/>
  <c r="AI17" i="17"/>
  <c r="AJ17" i="17"/>
  <c r="AK17" i="17"/>
  <c r="AL17" i="17"/>
  <c r="AM17" i="17"/>
  <c r="AN17" i="17"/>
  <c r="AO17" i="17"/>
  <c r="AP17" i="17"/>
  <c r="AQ17" i="17"/>
  <c r="AR17" i="17"/>
  <c r="AS17" i="17"/>
  <c r="AT17" i="17"/>
  <c r="AU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Y18" i="17"/>
  <c r="Z18" i="17"/>
  <c r="AA18" i="17"/>
  <c r="AB18" i="17"/>
  <c r="AC18" i="17"/>
  <c r="AD18" i="17"/>
  <c r="AE18" i="17"/>
  <c r="AF18" i="17"/>
  <c r="AG18" i="17"/>
  <c r="AH18" i="17"/>
  <c r="AI18" i="17"/>
  <c r="AJ18" i="17"/>
  <c r="AK18" i="17"/>
  <c r="AL18" i="17"/>
  <c r="AM18" i="17"/>
  <c r="AN18" i="17"/>
  <c r="AO18" i="17"/>
  <c r="AP18" i="17"/>
  <c r="AQ18" i="17"/>
  <c r="AR18" i="17"/>
  <c r="AS18" i="17"/>
  <c r="AT18" i="17"/>
  <c r="AU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AD19" i="17"/>
  <c r="AE19" i="17"/>
  <c r="AF19" i="17"/>
  <c r="AG19" i="17"/>
  <c r="AH19" i="17"/>
  <c r="AI19" i="17"/>
  <c r="AJ19" i="17"/>
  <c r="AK19" i="17"/>
  <c r="AL19" i="17"/>
  <c r="AM19" i="17"/>
  <c r="AN19" i="17"/>
  <c r="AO19" i="17"/>
  <c r="AP19" i="17"/>
  <c r="AQ19" i="17"/>
  <c r="AR19" i="17"/>
  <c r="AS19" i="17"/>
  <c r="AT19" i="17"/>
  <c r="AU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AD20" i="17"/>
  <c r="AE20" i="17"/>
  <c r="AF20" i="17"/>
  <c r="AG20" i="17"/>
  <c r="AH20" i="17"/>
  <c r="AI20" i="17"/>
  <c r="AJ20" i="17"/>
  <c r="AK20" i="17"/>
  <c r="AL20" i="17"/>
  <c r="AM20" i="17"/>
  <c r="AN20" i="17"/>
  <c r="AO20" i="17"/>
  <c r="AP20" i="17"/>
  <c r="AQ20" i="17"/>
  <c r="AR20" i="17"/>
  <c r="AS20" i="17"/>
  <c r="AT20" i="17"/>
  <c r="AU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Y21" i="17"/>
  <c r="Z21" i="17"/>
  <c r="AA21" i="17"/>
  <c r="AB21" i="17"/>
  <c r="AC21" i="17"/>
  <c r="AD21" i="17"/>
  <c r="AE21" i="17"/>
  <c r="AF21" i="17"/>
  <c r="AG21" i="17"/>
  <c r="AH21" i="17"/>
  <c r="AI21" i="17"/>
  <c r="AJ21" i="17"/>
  <c r="AK21" i="17"/>
  <c r="AL21" i="17"/>
  <c r="AM21" i="17"/>
  <c r="AN21" i="17"/>
  <c r="AO21" i="17"/>
  <c r="AP21" i="17"/>
  <c r="AQ21" i="17"/>
  <c r="AR21" i="17"/>
  <c r="AS21" i="17"/>
  <c r="AT21" i="17"/>
  <c r="AU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17"/>
  <c r="AD22" i="17"/>
  <c r="AE22" i="17"/>
  <c r="AF22" i="17"/>
  <c r="AG22" i="17"/>
  <c r="AH22" i="17"/>
  <c r="AI22" i="17"/>
  <c r="AJ22" i="17"/>
  <c r="AK22" i="17"/>
  <c r="AL22" i="17"/>
  <c r="AM22" i="17"/>
  <c r="AN22" i="17"/>
  <c r="AO22" i="17"/>
  <c r="AP22" i="17"/>
  <c r="AQ22" i="17"/>
  <c r="AR22" i="17"/>
  <c r="AS22" i="17"/>
  <c r="AT22" i="17"/>
  <c r="AU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Y23" i="17"/>
  <c r="Z23" i="17"/>
  <c r="AA23" i="17"/>
  <c r="AB23" i="17"/>
  <c r="AC23" i="17"/>
  <c r="AD23" i="17"/>
  <c r="AE23" i="17"/>
  <c r="AF23" i="17"/>
  <c r="AG23" i="17"/>
  <c r="AH23" i="17"/>
  <c r="AI23" i="17"/>
  <c r="AJ23" i="17"/>
  <c r="AK23" i="17"/>
  <c r="AL23" i="17"/>
  <c r="AM23" i="17"/>
  <c r="AN23" i="17"/>
  <c r="AO23" i="17"/>
  <c r="AP23" i="17"/>
  <c r="AQ23" i="17"/>
  <c r="AR23" i="17"/>
  <c r="AS23" i="17"/>
  <c r="AT23" i="17"/>
  <c r="AU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Y24" i="17"/>
  <c r="Z24" i="17"/>
  <c r="AA24" i="17"/>
  <c r="AB24" i="17"/>
  <c r="AC24" i="17"/>
  <c r="AD24" i="17"/>
  <c r="AE24" i="17"/>
  <c r="AF24" i="17"/>
  <c r="AG24" i="17"/>
  <c r="AH24" i="17"/>
  <c r="AI24" i="17"/>
  <c r="AJ24" i="17"/>
  <c r="AK24" i="17"/>
  <c r="AL24" i="17"/>
  <c r="AM24" i="17"/>
  <c r="AN24" i="17"/>
  <c r="AO24" i="17"/>
  <c r="AP24" i="17"/>
  <c r="AQ24" i="17"/>
  <c r="AR24" i="17"/>
  <c r="AS24" i="17"/>
  <c r="AT24" i="17"/>
  <c r="AU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Y25" i="17"/>
  <c r="Z25" i="17"/>
  <c r="AA25" i="17"/>
  <c r="AB25" i="17"/>
  <c r="AC25" i="17"/>
  <c r="AD25" i="17"/>
  <c r="AE25" i="17"/>
  <c r="AF25" i="17"/>
  <c r="AG25" i="17"/>
  <c r="AH25" i="17"/>
  <c r="AI25" i="17"/>
  <c r="AJ25" i="17"/>
  <c r="AK25" i="17"/>
  <c r="AL25" i="17"/>
  <c r="AM25" i="17"/>
  <c r="AN25" i="17"/>
  <c r="AO25" i="17"/>
  <c r="AP25" i="17"/>
  <c r="AQ25" i="17"/>
  <c r="AR25" i="17"/>
  <c r="AS25" i="17"/>
  <c r="AT25" i="17"/>
  <c r="AU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Y26" i="17"/>
  <c r="Z26" i="17"/>
  <c r="AA26" i="17"/>
  <c r="AB26" i="17"/>
  <c r="AC26" i="17"/>
  <c r="AD26" i="17"/>
  <c r="AE26" i="17"/>
  <c r="AF26" i="17"/>
  <c r="AG26" i="17"/>
  <c r="AH26" i="17"/>
  <c r="AI26" i="17"/>
  <c r="AJ26" i="17"/>
  <c r="AK26" i="17"/>
  <c r="AL26" i="17"/>
  <c r="AM26" i="17"/>
  <c r="AN26" i="17"/>
  <c r="AO26" i="17"/>
  <c r="AP26" i="17"/>
  <c r="AQ26" i="17"/>
  <c r="AR26" i="17"/>
  <c r="AS26" i="17"/>
  <c r="AT26" i="17"/>
  <c r="AU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Y27" i="17"/>
  <c r="Z27" i="17"/>
  <c r="AA27" i="17"/>
  <c r="AB27" i="17"/>
  <c r="AC27" i="17"/>
  <c r="AD27" i="17"/>
  <c r="AE27" i="17"/>
  <c r="AF27" i="17"/>
  <c r="AG27" i="17"/>
  <c r="AH27" i="17"/>
  <c r="AI27" i="17"/>
  <c r="AJ27" i="17"/>
  <c r="AK27" i="17"/>
  <c r="AL27" i="17"/>
  <c r="AM27" i="17"/>
  <c r="AN27" i="17"/>
  <c r="AO27" i="17"/>
  <c r="AP27" i="17"/>
  <c r="AQ27" i="17"/>
  <c r="AR27" i="17"/>
  <c r="AS27" i="17"/>
  <c r="AT27" i="17"/>
  <c r="AU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Y28" i="17"/>
  <c r="Z28" i="17"/>
  <c r="AA28" i="17"/>
  <c r="AB28" i="17"/>
  <c r="AC28" i="17"/>
  <c r="AD28" i="17"/>
  <c r="AE28" i="17"/>
  <c r="AF28" i="17"/>
  <c r="AG28" i="17"/>
  <c r="AH28" i="17"/>
  <c r="AI28" i="17"/>
  <c r="AJ28" i="17"/>
  <c r="AK28" i="17"/>
  <c r="AL28" i="17"/>
  <c r="AM28" i="17"/>
  <c r="AN28" i="17"/>
  <c r="AO28" i="17"/>
  <c r="AP28" i="17"/>
  <c r="AQ28" i="17"/>
  <c r="AR28" i="17"/>
  <c r="AS28" i="17"/>
  <c r="AT28" i="17"/>
  <c r="AU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Y29" i="17"/>
  <c r="Z29" i="17"/>
  <c r="AA29" i="17"/>
  <c r="AB29" i="17"/>
  <c r="AC29" i="17"/>
  <c r="AD29" i="17"/>
  <c r="AE29" i="17"/>
  <c r="AF29" i="17"/>
  <c r="AG29" i="17"/>
  <c r="AH29" i="17"/>
  <c r="AI29" i="17"/>
  <c r="AJ29" i="17"/>
  <c r="AK29" i="17"/>
  <c r="AL29" i="17"/>
  <c r="AM29" i="17"/>
  <c r="AN29" i="17"/>
  <c r="AO29" i="17"/>
  <c r="AP29" i="17"/>
  <c r="AQ29" i="17"/>
  <c r="AR29" i="17"/>
  <c r="AS29" i="17"/>
  <c r="AT29" i="17"/>
  <c r="AU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Y30" i="17"/>
  <c r="Z30" i="17"/>
  <c r="AA30" i="17"/>
  <c r="AB30" i="17"/>
  <c r="AC30" i="17"/>
  <c r="AD30" i="17"/>
  <c r="AE30" i="17"/>
  <c r="AF30" i="17"/>
  <c r="AG30" i="17"/>
  <c r="AH30" i="17"/>
  <c r="AI30" i="17"/>
  <c r="AJ30" i="17"/>
  <c r="AK30" i="17"/>
  <c r="AL30" i="17"/>
  <c r="AM30" i="17"/>
  <c r="AN30" i="17"/>
  <c r="AO30" i="17"/>
  <c r="AP30" i="17"/>
  <c r="AQ30" i="17"/>
  <c r="AR30" i="17"/>
  <c r="AS30" i="17"/>
  <c r="AT30" i="17"/>
  <c r="AU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Y31" i="17"/>
  <c r="Z31" i="17"/>
  <c r="AA31" i="17"/>
  <c r="AB31" i="17"/>
  <c r="AC31" i="17"/>
  <c r="AD31" i="17"/>
  <c r="AE31" i="17"/>
  <c r="AF31" i="17"/>
  <c r="AG31" i="17"/>
  <c r="AH31" i="17"/>
  <c r="AI31" i="17"/>
  <c r="AJ31" i="17"/>
  <c r="AK31" i="17"/>
  <c r="AL31" i="17"/>
  <c r="AM31" i="17"/>
  <c r="AN31" i="17"/>
  <c r="AO31" i="17"/>
  <c r="AP31" i="17"/>
  <c r="AQ31" i="17"/>
  <c r="AR31" i="17"/>
  <c r="AS31" i="17"/>
  <c r="AT31" i="17"/>
  <c r="AU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Y32" i="17"/>
  <c r="Z32" i="17"/>
  <c r="AA32" i="17"/>
  <c r="AB32" i="17"/>
  <c r="AC32" i="17"/>
  <c r="AD32" i="17"/>
  <c r="AE32" i="17"/>
  <c r="AF32" i="17"/>
  <c r="AG32" i="17"/>
  <c r="AH32" i="17"/>
  <c r="AI32" i="17"/>
  <c r="AJ32" i="17"/>
  <c r="AK32" i="17"/>
  <c r="AL32" i="17"/>
  <c r="AM32" i="17"/>
  <c r="AN32" i="17"/>
  <c r="AO32" i="17"/>
  <c r="AP32" i="17"/>
  <c r="AQ32" i="17"/>
  <c r="AR32" i="17"/>
  <c r="AS32" i="17"/>
  <c r="AT32" i="17"/>
  <c r="AU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Y33" i="17"/>
  <c r="Z33" i="17"/>
  <c r="AA33" i="17"/>
  <c r="AB33" i="17"/>
  <c r="AC33" i="17"/>
  <c r="AD33" i="17"/>
  <c r="AE33" i="17"/>
  <c r="AF33" i="17"/>
  <c r="AG33" i="17"/>
  <c r="AH33" i="17"/>
  <c r="AI33" i="17"/>
  <c r="AJ33" i="17"/>
  <c r="AK33" i="17"/>
  <c r="AL33" i="17"/>
  <c r="AM33" i="17"/>
  <c r="AN33" i="17"/>
  <c r="AO33" i="17"/>
  <c r="AP33" i="17"/>
  <c r="AQ33" i="17"/>
  <c r="AR33" i="17"/>
  <c r="AS33" i="17"/>
  <c r="AT33" i="17"/>
  <c r="AU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Y34" i="17"/>
  <c r="Z34" i="17"/>
  <c r="AA34" i="17"/>
  <c r="AB34" i="17"/>
  <c r="AC34" i="17"/>
  <c r="AD34" i="17"/>
  <c r="AE34" i="17"/>
  <c r="AF34" i="17"/>
  <c r="AG34" i="17"/>
  <c r="AH34" i="17"/>
  <c r="AI34" i="17"/>
  <c r="AJ34" i="17"/>
  <c r="AK34" i="17"/>
  <c r="AL34" i="17"/>
  <c r="AM34" i="17"/>
  <c r="AN34" i="17"/>
  <c r="AO34" i="17"/>
  <c r="AP34" i="17"/>
  <c r="AQ34" i="17"/>
  <c r="AR34" i="17"/>
  <c r="AS34" i="17"/>
  <c r="AT34" i="17"/>
  <c r="AU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Y35" i="17"/>
  <c r="Z35" i="17"/>
  <c r="AA35" i="17"/>
  <c r="AB35" i="17"/>
  <c r="AC35" i="17"/>
  <c r="AD35" i="17"/>
  <c r="AE35" i="17"/>
  <c r="AF35" i="17"/>
  <c r="AG35" i="17"/>
  <c r="AH35" i="17"/>
  <c r="AI35" i="17"/>
  <c r="AJ35" i="17"/>
  <c r="AK35" i="17"/>
  <c r="AL35" i="17"/>
  <c r="AM35" i="17"/>
  <c r="AN35" i="17"/>
  <c r="AO35" i="17"/>
  <c r="AP35" i="17"/>
  <c r="AQ35" i="17"/>
  <c r="AR35" i="17"/>
  <c r="AS35" i="17"/>
  <c r="AT35" i="17"/>
  <c r="AU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Y36" i="17"/>
  <c r="Z36" i="17"/>
  <c r="AA36" i="17"/>
  <c r="AB36" i="17"/>
  <c r="AC36" i="17"/>
  <c r="AD36" i="17"/>
  <c r="AE36" i="17"/>
  <c r="AF36" i="17"/>
  <c r="AG36" i="17"/>
  <c r="AH36" i="17"/>
  <c r="AI36" i="17"/>
  <c r="AJ36" i="17"/>
  <c r="AK36" i="17"/>
  <c r="AL36" i="17"/>
  <c r="AM36" i="17"/>
  <c r="AN36" i="17"/>
  <c r="AO36" i="17"/>
  <c r="AP36" i="17"/>
  <c r="AQ36" i="17"/>
  <c r="AR36" i="17"/>
  <c r="AS36" i="17"/>
  <c r="AT36" i="17"/>
  <c r="AU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Y37" i="17"/>
  <c r="Z37" i="17"/>
  <c r="AA37" i="17"/>
  <c r="AB37" i="17"/>
  <c r="AC37" i="17"/>
  <c r="AD37" i="17"/>
  <c r="AE37" i="17"/>
  <c r="AF37" i="17"/>
  <c r="AG37" i="17"/>
  <c r="AH37" i="17"/>
  <c r="AI37" i="17"/>
  <c r="AJ37" i="17"/>
  <c r="AK37" i="17"/>
  <c r="AL37" i="17"/>
  <c r="AM37" i="17"/>
  <c r="AN37" i="17"/>
  <c r="AO37" i="17"/>
  <c r="AP37" i="17"/>
  <c r="AQ37" i="17"/>
  <c r="AR37" i="17"/>
  <c r="AS37" i="17"/>
  <c r="AT37" i="17"/>
  <c r="AU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Y38" i="17"/>
  <c r="Z38" i="17"/>
  <c r="AA38" i="17"/>
  <c r="AB38" i="17"/>
  <c r="AC38" i="17"/>
  <c r="AD38" i="17"/>
  <c r="AE38" i="17"/>
  <c r="AF38" i="17"/>
  <c r="AG38" i="17"/>
  <c r="AH38" i="17"/>
  <c r="AI38" i="17"/>
  <c r="AJ38" i="17"/>
  <c r="AK38" i="17"/>
  <c r="AL38" i="17"/>
  <c r="AM38" i="17"/>
  <c r="AN38" i="17"/>
  <c r="AO38" i="17"/>
  <c r="AP38" i="17"/>
  <c r="AQ38" i="17"/>
  <c r="AR38" i="17"/>
  <c r="AS38" i="17"/>
  <c r="AT38" i="17"/>
  <c r="AU38" i="17"/>
  <c r="A6" i="1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7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8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9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10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11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12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13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14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15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16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17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18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19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20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21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6" i="7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7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8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9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10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11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12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13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14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15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16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17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18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19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20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21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22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23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24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25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26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27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28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29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30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31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32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33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34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35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36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37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38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39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40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41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AS41" i="6"/>
  <c r="AT41" i="6"/>
  <c r="AU41" i="6"/>
  <c r="A6" i="6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K6" i="21"/>
  <c r="AL6" i="21"/>
  <c r="AM6" i="21"/>
  <c r="AN6" i="21"/>
  <c r="AO6" i="21"/>
  <c r="AP6" i="21"/>
  <c r="AQ6" i="21"/>
  <c r="AR6" i="21"/>
  <c r="AS6" i="21"/>
  <c r="AT6" i="21"/>
  <c r="AU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K7" i="21"/>
  <c r="AL7" i="21"/>
  <c r="AM7" i="21"/>
  <c r="AN7" i="21"/>
  <c r="AO7" i="21"/>
  <c r="AP7" i="21"/>
  <c r="AQ7" i="21"/>
  <c r="AR7" i="21"/>
  <c r="AS7" i="21"/>
  <c r="AT7" i="21"/>
  <c r="AU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K8" i="21"/>
  <c r="AL8" i="21"/>
  <c r="AM8" i="21"/>
  <c r="AN8" i="21"/>
  <c r="AO8" i="21"/>
  <c r="AP8" i="21"/>
  <c r="AQ8" i="21"/>
  <c r="AR8" i="21"/>
  <c r="AS8" i="21"/>
  <c r="AT8" i="21"/>
  <c r="AU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K9" i="21"/>
  <c r="AL9" i="21"/>
  <c r="AM9" i="21"/>
  <c r="AN9" i="21"/>
  <c r="AO9" i="21"/>
  <c r="AP9" i="21"/>
  <c r="AQ9" i="21"/>
  <c r="AR9" i="21"/>
  <c r="AS9" i="21"/>
  <c r="AT9" i="21"/>
  <c r="AU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K10" i="21"/>
  <c r="AL10" i="21"/>
  <c r="AM10" i="21"/>
  <c r="AN10" i="21"/>
  <c r="AO10" i="21"/>
  <c r="AP10" i="21"/>
  <c r="AQ10" i="21"/>
  <c r="AR10" i="21"/>
  <c r="AS10" i="21"/>
  <c r="AT10" i="21"/>
  <c r="AU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K11" i="21"/>
  <c r="AL11" i="21"/>
  <c r="AM11" i="21"/>
  <c r="AN11" i="21"/>
  <c r="AO11" i="21"/>
  <c r="AP11" i="21"/>
  <c r="AQ11" i="21"/>
  <c r="AR11" i="21"/>
  <c r="AS11" i="21"/>
  <c r="AT11" i="21"/>
  <c r="AU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K12" i="21"/>
  <c r="AL12" i="21"/>
  <c r="AM12" i="21"/>
  <c r="AN12" i="21"/>
  <c r="AO12" i="21"/>
  <c r="AP12" i="21"/>
  <c r="AQ12" i="21"/>
  <c r="AR12" i="21"/>
  <c r="AS12" i="21"/>
  <c r="AT12" i="21"/>
  <c r="AU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K13" i="21"/>
  <c r="AL13" i="21"/>
  <c r="AM13" i="21"/>
  <c r="AN13" i="21"/>
  <c r="AO13" i="21"/>
  <c r="AP13" i="21"/>
  <c r="AQ13" i="21"/>
  <c r="AR13" i="21"/>
  <c r="AS13" i="21"/>
  <c r="AT13" i="21"/>
  <c r="AU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K14" i="21"/>
  <c r="AL14" i="21"/>
  <c r="AM14" i="21"/>
  <c r="AN14" i="21"/>
  <c r="AO14" i="21"/>
  <c r="AP14" i="21"/>
  <c r="AQ14" i="21"/>
  <c r="AR14" i="21"/>
  <c r="AS14" i="21"/>
  <c r="AT14" i="21"/>
  <c r="AU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K15" i="21"/>
  <c r="AL15" i="21"/>
  <c r="AM15" i="21"/>
  <c r="AN15" i="21"/>
  <c r="AO15" i="21"/>
  <c r="AP15" i="21"/>
  <c r="AQ15" i="21"/>
  <c r="AR15" i="21"/>
  <c r="AS15" i="21"/>
  <c r="AT15" i="21"/>
  <c r="AU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K16" i="21"/>
  <c r="AL16" i="21"/>
  <c r="AM16" i="21"/>
  <c r="AN16" i="21"/>
  <c r="AO16" i="21"/>
  <c r="AP16" i="21"/>
  <c r="AQ16" i="21"/>
  <c r="AR16" i="21"/>
  <c r="AS16" i="21"/>
  <c r="AT16" i="21"/>
  <c r="AU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K17" i="21"/>
  <c r="AL17" i="21"/>
  <c r="AM17" i="21"/>
  <c r="AN17" i="21"/>
  <c r="AO17" i="21"/>
  <c r="AP17" i="21"/>
  <c r="AQ17" i="21"/>
  <c r="AR17" i="21"/>
  <c r="AS17" i="21"/>
  <c r="AT17" i="21"/>
  <c r="AU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K18" i="21"/>
  <c r="AL18" i="21"/>
  <c r="AM18" i="21"/>
  <c r="AN18" i="21"/>
  <c r="AO18" i="21"/>
  <c r="AP18" i="21"/>
  <c r="AQ18" i="21"/>
  <c r="AR18" i="21"/>
  <c r="AS18" i="21"/>
  <c r="AT18" i="21"/>
  <c r="AU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K19" i="21"/>
  <c r="AL19" i="21"/>
  <c r="AM19" i="21"/>
  <c r="AN19" i="21"/>
  <c r="AO19" i="21"/>
  <c r="AP19" i="21"/>
  <c r="AQ19" i="21"/>
  <c r="AR19" i="21"/>
  <c r="AS19" i="21"/>
  <c r="AT19" i="21"/>
  <c r="AU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K20" i="21"/>
  <c r="AL20" i="21"/>
  <c r="AM20" i="21"/>
  <c r="AN20" i="21"/>
  <c r="AO20" i="21"/>
  <c r="AP20" i="21"/>
  <c r="AQ20" i="21"/>
  <c r="AR20" i="21"/>
  <c r="AS20" i="21"/>
  <c r="AT20" i="21"/>
  <c r="AU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K21" i="21"/>
  <c r="AL21" i="21"/>
  <c r="AM21" i="21"/>
  <c r="AN21" i="21"/>
  <c r="AO21" i="21"/>
  <c r="AP21" i="21"/>
  <c r="AQ21" i="21"/>
  <c r="AR21" i="21"/>
  <c r="AS21" i="21"/>
  <c r="AT21" i="21"/>
  <c r="AU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K22" i="21"/>
  <c r="AL22" i="21"/>
  <c r="AM22" i="21"/>
  <c r="AN22" i="21"/>
  <c r="AO22" i="21"/>
  <c r="AP22" i="21"/>
  <c r="AQ22" i="21"/>
  <c r="AR22" i="21"/>
  <c r="AS22" i="21"/>
  <c r="AT22" i="21"/>
  <c r="AU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K23" i="21"/>
  <c r="AL23" i="21"/>
  <c r="AM23" i="21"/>
  <c r="AN23" i="21"/>
  <c r="AO23" i="21"/>
  <c r="AP23" i="21"/>
  <c r="AQ23" i="21"/>
  <c r="AR23" i="21"/>
  <c r="AS23" i="21"/>
  <c r="AT23" i="21"/>
  <c r="AU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K24" i="21"/>
  <c r="AL24" i="21"/>
  <c r="AM24" i="21"/>
  <c r="AN24" i="21"/>
  <c r="AO24" i="21"/>
  <c r="AP24" i="21"/>
  <c r="AQ24" i="21"/>
  <c r="AR24" i="21"/>
  <c r="AS24" i="21"/>
  <c r="AT24" i="21"/>
  <c r="AU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K25" i="21"/>
  <c r="AL25" i="21"/>
  <c r="AM25" i="21"/>
  <c r="AN25" i="21"/>
  <c r="AO25" i="21"/>
  <c r="AP25" i="21"/>
  <c r="AQ25" i="21"/>
  <c r="AR25" i="21"/>
  <c r="AS25" i="21"/>
  <c r="AT25" i="21"/>
  <c r="AU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K26" i="21"/>
  <c r="AL26" i="21"/>
  <c r="AM26" i="21"/>
  <c r="AN26" i="21"/>
  <c r="AO26" i="21"/>
  <c r="AP26" i="21"/>
  <c r="AQ26" i="21"/>
  <c r="AR26" i="21"/>
  <c r="AS26" i="21"/>
  <c r="AT26" i="21"/>
  <c r="AU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K27" i="21"/>
  <c r="AL27" i="21"/>
  <c r="AM27" i="21"/>
  <c r="AN27" i="21"/>
  <c r="AO27" i="21"/>
  <c r="AP27" i="21"/>
  <c r="AQ27" i="21"/>
  <c r="AR27" i="21"/>
  <c r="AS27" i="21"/>
  <c r="AT27" i="21"/>
  <c r="AU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K28" i="21"/>
  <c r="AL28" i="21"/>
  <c r="AM28" i="21"/>
  <c r="AN28" i="21"/>
  <c r="AO28" i="21"/>
  <c r="AP28" i="21"/>
  <c r="AQ28" i="21"/>
  <c r="AR28" i="21"/>
  <c r="AS28" i="21"/>
  <c r="AT28" i="21"/>
  <c r="AU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K29" i="21"/>
  <c r="AL29" i="21"/>
  <c r="AM29" i="21"/>
  <c r="AN29" i="21"/>
  <c r="AO29" i="21"/>
  <c r="AP29" i="21"/>
  <c r="AQ29" i="21"/>
  <c r="AR29" i="21"/>
  <c r="AS29" i="21"/>
  <c r="AT29" i="21"/>
  <c r="AU29" i="21"/>
  <c r="A6" i="21"/>
  <c r="B6" i="19"/>
  <c r="C6" i="19"/>
  <c r="D6" i="19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Z6" i="19"/>
  <c r="AA6" i="19"/>
  <c r="AB6" i="19"/>
  <c r="AC6" i="19"/>
  <c r="AD6" i="19"/>
  <c r="AE6" i="19"/>
  <c r="AF6" i="19"/>
  <c r="AG6" i="19"/>
  <c r="AH6" i="19"/>
  <c r="AI6" i="19"/>
  <c r="AJ6" i="19"/>
  <c r="AK6" i="19"/>
  <c r="AL6" i="19"/>
  <c r="AM6" i="19"/>
  <c r="AN6" i="19"/>
  <c r="AO6" i="19"/>
  <c r="AP6" i="19"/>
  <c r="AQ6" i="19"/>
  <c r="AR6" i="19"/>
  <c r="AS6" i="19"/>
  <c r="AT6" i="19"/>
  <c r="AU6" i="19"/>
  <c r="A7" i="19"/>
  <c r="B7" i="19"/>
  <c r="C7" i="19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AA7" i="19"/>
  <c r="AB7" i="19"/>
  <c r="AC7" i="19"/>
  <c r="AD7" i="19"/>
  <c r="AE7" i="19"/>
  <c r="AF7" i="19"/>
  <c r="AG7" i="19"/>
  <c r="AH7" i="19"/>
  <c r="AI7" i="19"/>
  <c r="AJ7" i="19"/>
  <c r="AK7" i="19"/>
  <c r="AL7" i="19"/>
  <c r="AM7" i="19"/>
  <c r="AN7" i="19"/>
  <c r="AO7" i="19"/>
  <c r="AP7" i="19"/>
  <c r="AQ7" i="19"/>
  <c r="AR7" i="19"/>
  <c r="AS7" i="19"/>
  <c r="AT7" i="19"/>
  <c r="AU7" i="19"/>
  <c r="A8" i="19"/>
  <c r="B8" i="19"/>
  <c r="C8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T8" i="19"/>
  <c r="U8" i="19"/>
  <c r="V8" i="19"/>
  <c r="W8" i="19"/>
  <c r="X8" i="19"/>
  <c r="Y8" i="19"/>
  <c r="Z8" i="19"/>
  <c r="AA8" i="19"/>
  <c r="AB8" i="19"/>
  <c r="AC8" i="19"/>
  <c r="AD8" i="19"/>
  <c r="AE8" i="19"/>
  <c r="AF8" i="19"/>
  <c r="AG8" i="19"/>
  <c r="AH8" i="19"/>
  <c r="AI8" i="19"/>
  <c r="AJ8" i="19"/>
  <c r="AK8" i="19"/>
  <c r="AL8" i="19"/>
  <c r="AM8" i="19"/>
  <c r="AN8" i="19"/>
  <c r="AO8" i="19"/>
  <c r="AP8" i="19"/>
  <c r="AQ8" i="19"/>
  <c r="AR8" i="19"/>
  <c r="AS8" i="19"/>
  <c r="AT8" i="19"/>
  <c r="AU8" i="19"/>
  <c r="A9" i="19"/>
  <c r="B9" i="19"/>
  <c r="C9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AA9" i="19"/>
  <c r="AB9" i="19"/>
  <c r="AC9" i="19"/>
  <c r="AD9" i="19"/>
  <c r="AE9" i="19"/>
  <c r="AF9" i="19"/>
  <c r="AG9" i="19"/>
  <c r="AH9" i="19"/>
  <c r="AI9" i="19"/>
  <c r="AJ9" i="19"/>
  <c r="AK9" i="19"/>
  <c r="AL9" i="19"/>
  <c r="AM9" i="19"/>
  <c r="AN9" i="19"/>
  <c r="AO9" i="19"/>
  <c r="AP9" i="19"/>
  <c r="AQ9" i="19"/>
  <c r="AR9" i="19"/>
  <c r="AS9" i="19"/>
  <c r="AT9" i="19"/>
  <c r="AU9" i="19"/>
  <c r="A10" i="19"/>
  <c r="B10" i="19"/>
  <c r="C10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AA10" i="19"/>
  <c r="AB10" i="19"/>
  <c r="AC10" i="19"/>
  <c r="AD10" i="19"/>
  <c r="AE10" i="19"/>
  <c r="AF10" i="19"/>
  <c r="AG10" i="19"/>
  <c r="AH10" i="19"/>
  <c r="AI10" i="19"/>
  <c r="AJ10" i="19"/>
  <c r="AK10" i="19"/>
  <c r="AL10" i="19"/>
  <c r="AM10" i="19"/>
  <c r="AN10" i="19"/>
  <c r="AO10" i="19"/>
  <c r="AP10" i="19"/>
  <c r="AQ10" i="19"/>
  <c r="AR10" i="19"/>
  <c r="AS10" i="19"/>
  <c r="AT10" i="19"/>
  <c r="AU10" i="19"/>
  <c r="A11" i="19"/>
  <c r="B11" i="19"/>
  <c r="C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S11" i="19"/>
  <c r="T11" i="19"/>
  <c r="U11" i="19"/>
  <c r="V11" i="19"/>
  <c r="W11" i="19"/>
  <c r="X11" i="19"/>
  <c r="Y11" i="19"/>
  <c r="Z11" i="19"/>
  <c r="AA11" i="19"/>
  <c r="AB11" i="19"/>
  <c r="AC11" i="19"/>
  <c r="AD11" i="19"/>
  <c r="AE11" i="19"/>
  <c r="AF11" i="19"/>
  <c r="AG11" i="19"/>
  <c r="AH11" i="19"/>
  <c r="AI11" i="19"/>
  <c r="AJ11" i="19"/>
  <c r="AK11" i="19"/>
  <c r="AL11" i="19"/>
  <c r="AM11" i="19"/>
  <c r="AN11" i="19"/>
  <c r="AO11" i="19"/>
  <c r="AP11" i="19"/>
  <c r="AQ11" i="19"/>
  <c r="AR11" i="19"/>
  <c r="AS11" i="19"/>
  <c r="AT11" i="19"/>
  <c r="AU11" i="19"/>
  <c r="A12" i="19"/>
  <c r="B12" i="19"/>
  <c r="C12" i="19"/>
  <c r="D12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S12" i="19"/>
  <c r="T12" i="19"/>
  <c r="U12" i="19"/>
  <c r="V12" i="19"/>
  <c r="W12" i="19"/>
  <c r="X12" i="19"/>
  <c r="Y12" i="19"/>
  <c r="Z12" i="19"/>
  <c r="AA12" i="19"/>
  <c r="AB12" i="19"/>
  <c r="AC12" i="19"/>
  <c r="AD12" i="19"/>
  <c r="AE12" i="19"/>
  <c r="AF12" i="19"/>
  <c r="AG12" i="19"/>
  <c r="AH12" i="19"/>
  <c r="AI12" i="19"/>
  <c r="AJ12" i="19"/>
  <c r="AK12" i="19"/>
  <c r="AL12" i="19"/>
  <c r="AM12" i="19"/>
  <c r="AN12" i="19"/>
  <c r="AO12" i="19"/>
  <c r="AP12" i="19"/>
  <c r="AQ12" i="19"/>
  <c r="AR12" i="19"/>
  <c r="AS12" i="19"/>
  <c r="AT12" i="19"/>
  <c r="AU12" i="19"/>
  <c r="A13" i="19"/>
  <c r="B13" i="19"/>
  <c r="C13" i="19"/>
  <c r="D13" i="19"/>
  <c r="E13" i="19"/>
  <c r="F13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Y13" i="19"/>
  <c r="Z13" i="19"/>
  <c r="AA13" i="19"/>
  <c r="AB13" i="19"/>
  <c r="AC13" i="19"/>
  <c r="AD13" i="19"/>
  <c r="AE13" i="19"/>
  <c r="AF13" i="19"/>
  <c r="AG13" i="19"/>
  <c r="AH13" i="19"/>
  <c r="AI13" i="19"/>
  <c r="AJ13" i="19"/>
  <c r="AK13" i="19"/>
  <c r="AL13" i="19"/>
  <c r="AM13" i="19"/>
  <c r="AN13" i="19"/>
  <c r="AO13" i="19"/>
  <c r="AP13" i="19"/>
  <c r="AQ13" i="19"/>
  <c r="AR13" i="19"/>
  <c r="AS13" i="19"/>
  <c r="AT13" i="19"/>
  <c r="AU13" i="19"/>
  <c r="A14" i="19"/>
  <c r="B14" i="19"/>
  <c r="C14" i="19"/>
  <c r="D14" i="19"/>
  <c r="E14" i="19"/>
  <c r="F14" i="19"/>
  <c r="G14" i="19"/>
  <c r="H14" i="19"/>
  <c r="I14" i="19"/>
  <c r="J14" i="19"/>
  <c r="K14" i="19"/>
  <c r="L14" i="19"/>
  <c r="M14" i="19"/>
  <c r="N14" i="19"/>
  <c r="O14" i="19"/>
  <c r="P14" i="19"/>
  <c r="Q14" i="19"/>
  <c r="R14" i="19"/>
  <c r="S14" i="19"/>
  <c r="T14" i="19"/>
  <c r="U14" i="19"/>
  <c r="V14" i="19"/>
  <c r="W14" i="19"/>
  <c r="X14" i="19"/>
  <c r="Y14" i="19"/>
  <c r="Z14" i="19"/>
  <c r="AA14" i="19"/>
  <c r="AB14" i="19"/>
  <c r="AC14" i="19"/>
  <c r="AD14" i="19"/>
  <c r="AE14" i="19"/>
  <c r="AF14" i="19"/>
  <c r="AG14" i="19"/>
  <c r="AH14" i="19"/>
  <c r="AI14" i="19"/>
  <c r="AJ14" i="19"/>
  <c r="AK14" i="19"/>
  <c r="AL14" i="19"/>
  <c r="AM14" i="19"/>
  <c r="AN14" i="19"/>
  <c r="AO14" i="19"/>
  <c r="AP14" i="19"/>
  <c r="AQ14" i="19"/>
  <c r="AR14" i="19"/>
  <c r="AS14" i="19"/>
  <c r="AT14" i="19"/>
  <c r="AU14" i="19"/>
  <c r="A15" i="19"/>
  <c r="B15" i="19"/>
  <c r="C15" i="19"/>
  <c r="D15" i="19"/>
  <c r="E15" i="19"/>
  <c r="F15" i="19"/>
  <c r="G15" i="19"/>
  <c r="H15" i="19"/>
  <c r="I15" i="19"/>
  <c r="J15" i="19"/>
  <c r="K15" i="19"/>
  <c r="L15" i="19"/>
  <c r="M15" i="19"/>
  <c r="N15" i="19"/>
  <c r="O15" i="19"/>
  <c r="P15" i="19"/>
  <c r="Q15" i="19"/>
  <c r="R15" i="19"/>
  <c r="S15" i="19"/>
  <c r="T15" i="19"/>
  <c r="U15" i="19"/>
  <c r="V15" i="19"/>
  <c r="W15" i="19"/>
  <c r="X15" i="19"/>
  <c r="Y15" i="19"/>
  <c r="Z15" i="19"/>
  <c r="AA15" i="19"/>
  <c r="AB15" i="19"/>
  <c r="AC15" i="19"/>
  <c r="AD15" i="19"/>
  <c r="AE15" i="19"/>
  <c r="AF15" i="19"/>
  <c r="AG15" i="19"/>
  <c r="AH15" i="19"/>
  <c r="AI15" i="19"/>
  <c r="AJ15" i="19"/>
  <c r="AK15" i="19"/>
  <c r="AL15" i="19"/>
  <c r="AM15" i="19"/>
  <c r="AN15" i="19"/>
  <c r="AO15" i="19"/>
  <c r="AP15" i="19"/>
  <c r="AQ15" i="19"/>
  <c r="AR15" i="19"/>
  <c r="AS15" i="19"/>
  <c r="AT15" i="19"/>
  <c r="AU15" i="19"/>
  <c r="A16" i="19"/>
  <c r="B16" i="19"/>
  <c r="C16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AA16" i="19"/>
  <c r="AB16" i="19"/>
  <c r="AC16" i="19"/>
  <c r="AD16" i="19"/>
  <c r="AE16" i="19"/>
  <c r="AF16" i="19"/>
  <c r="AG16" i="19"/>
  <c r="AH16" i="19"/>
  <c r="AI16" i="19"/>
  <c r="AJ16" i="19"/>
  <c r="AK16" i="19"/>
  <c r="AL16" i="19"/>
  <c r="AM16" i="19"/>
  <c r="AN16" i="19"/>
  <c r="AO16" i="19"/>
  <c r="AP16" i="19"/>
  <c r="AQ16" i="19"/>
  <c r="AR16" i="19"/>
  <c r="AS16" i="19"/>
  <c r="AT16" i="19"/>
  <c r="AU16" i="19"/>
  <c r="A17" i="19"/>
  <c r="B17" i="19"/>
  <c r="C17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AA17" i="19"/>
  <c r="AB17" i="19"/>
  <c r="AC17" i="19"/>
  <c r="AD17" i="19"/>
  <c r="AE17" i="19"/>
  <c r="AF17" i="19"/>
  <c r="AG17" i="19"/>
  <c r="AH17" i="19"/>
  <c r="AI17" i="19"/>
  <c r="AJ17" i="19"/>
  <c r="AK17" i="19"/>
  <c r="AL17" i="19"/>
  <c r="AM17" i="19"/>
  <c r="AN17" i="19"/>
  <c r="AO17" i="19"/>
  <c r="AP17" i="19"/>
  <c r="AQ17" i="19"/>
  <c r="AR17" i="19"/>
  <c r="AS17" i="19"/>
  <c r="AT17" i="19"/>
  <c r="AU17" i="19"/>
  <c r="A18" i="19"/>
  <c r="B18" i="19"/>
  <c r="C18" i="19"/>
  <c r="D18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AA18" i="19"/>
  <c r="AB18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P18" i="19"/>
  <c r="AQ18" i="19"/>
  <c r="AR18" i="19"/>
  <c r="AS18" i="19"/>
  <c r="AT18" i="19"/>
  <c r="AU18" i="19"/>
  <c r="A19" i="19"/>
  <c r="B19" i="19"/>
  <c r="C19" i="19"/>
  <c r="D19" i="19"/>
  <c r="E19" i="19"/>
  <c r="F19" i="19"/>
  <c r="G19" i="19"/>
  <c r="H19" i="19"/>
  <c r="I19" i="19"/>
  <c r="J19" i="19"/>
  <c r="K19" i="19"/>
  <c r="L19" i="19"/>
  <c r="M19" i="19"/>
  <c r="N19" i="19"/>
  <c r="O19" i="19"/>
  <c r="P19" i="19"/>
  <c r="Q19" i="19"/>
  <c r="R19" i="19"/>
  <c r="S19" i="19"/>
  <c r="T19" i="19"/>
  <c r="U19" i="19"/>
  <c r="V19" i="19"/>
  <c r="W19" i="19"/>
  <c r="X19" i="19"/>
  <c r="Y19" i="19"/>
  <c r="Z19" i="19"/>
  <c r="AA19" i="19"/>
  <c r="AB19" i="19"/>
  <c r="AC19" i="19"/>
  <c r="AD19" i="19"/>
  <c r="AE19" i="19"/>
  <c r="AF19" i="19"/>
  <c r="AG19" i="19"/>
  <c r="AH19" i="19"/>
  <c r="AI19" i="19"/>
  <c r="AJ19" i="19"/>
  <c r="AK19" i="19"/>
  <c r="AL19" i="19"/>
  <c r="AM19" i="19"/>
  <c r="AN19" i="19"/>
  <c r="AO19" i="19"/>
  <c r="AP19" i="19"/>
  <c r="AQ19" i="19"/>
  <c r="AR19" i="19"/>
  <c r="AS19" i="19"/>
  <c r="AT19" i="19"/>
  <c r="AU19" i="19"/>
  <c r="A20" i="19"/>
  <c r="B20" i="19"/>
  <c r="C20" i="19"/>
  <c r="D20" i="19"/>
  <c r="E20" i="19"/>
  <c r="F20" i="19"/>
  <c r="G20" i="19"/>
  <c r="H20" i="19"/>
  <c r="I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Y20" i="19"/>
  <c r="Z20" i="19"/>
  <c r="AA20" i="19"/>
  <c r="AB20" i="19"/>
  <c r="AC20" i="19"/>
  <c r="AD20" i="19"/>
  <c r="AE20" i="19"/>
  <c r="AF20" i="19"/>
  <c r="AG20" i="19"/>
  <c r="AH20" i="19"/>
  <c r="AI20" i="19"/>
  <c r="AJ20" i="19"/>
  <c r="AK20" i="19"/>
  <c r="AL20" i="19"/>
  <c r="AM20" i="19"/>
  <c r="AN20" i="19"/>
  <c r="AO20" i="19"/>
  <c r="AP20" i="19"/>
  <c r="AQ20" i="19"/>
  <c r="AR20" i="19"/>
  <c r="AS20" i="19"/>
  <c r="AT20" i="19"/>
  <c r="AU20" i="19"/>
  <c r="A6" i="19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32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33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34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35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36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37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38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39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40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41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42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43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44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45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46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47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48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49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50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51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52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53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54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55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56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57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58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59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60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61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62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63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64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65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66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67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68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69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70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71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72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73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74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75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6" i="4"/>
  <c r="B6" i="23"/>
  <c r="C6" i="23"/>
  <c r="D6" i="23"/>
  <c r="E6" i="23"/>
  <c r="F6" i="23"/>
  <c r="G6" i="23"/>
  <c r="H6" i="23"/>
  <c r="I6" i="23"/>
  <c r="J6" i="23"/>
  <c r="K6" i="23"/>
  <c r="L6" i="23"/>
  <c r="M6" i="23"/>
  <c r="N6" i="23"/>
  <c r="O6" i="23"/>
  <c r="P6" i="23"/>
  <c r="Q6" i="23"/>
  <c r="R6" i="23"/>
  <c r="S6" i="23"/>
  <c r="T6" i="23"/>
  <c r="U6" i="23"/>
  <c r="V6" i="23"/>
  <c r="W6" i="23"/>
  <c r="X6" i="23"/>
  <c r="Y6" i="23"/>
  <c r="Z6" i="23"/>
  <c r="AA6" i="23"/>
  <c r="AB6" i="23"/>
  <c r="AC6" i="23"/>
  <c r="AD6" i="23"/>
  <c r="AE6" i="23"/>
  <c r="AF6" i="23"/>
  <c r="AG6" i="23"/>
  <c r="AH6" i="23"/>
  <c r="AI6" i="23"/>
  <c r="AJ6" i="23"/>
  <c r="AK6" i="23"/>
  <c r="AL6" i="23"/>
  <c r="AM6" i="23"/>
  <c r="AN6" i="23"/>
  <c r="AO6" i="23"/>
  <c r="AP6" i="23"/>
  <c r="AQ6" i="23"/>
  <c r="AR6" i="23"/>
  <c r="AS6" i="23"/>
  <c r="AT6" i="23"/>
  <c r="AU6" i="23"/>
  <c r="A7" i="23"/>
  <c r="B7" i="23"/>
  <c r="C7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AK7" i="23"/>
  <c r="AL7" i="23"/>
  <c r="AM7" i="23"/>
  <c r="AN7" i="23"/>
  <c r="AO7" i="23"/>
  <c r="AP7" i="23"/>
  <c r="AQ7" i="23"/>
  <c r="AR7" i="23"/>
  <c r="AS7" i="23"/>
  <c r="AT7" i="23"/>
  <c r="AU7" i="23"/>
  <c r="A8" i="23"/>
  <c r="B8" i="23"/>
  <c r="C8" i="23"/>
  <c r="D8" i="23"/>
  <c r="E8" i="23"/>
  <c r="F8" i="23"/>
  <c r="G8" i="23"/>
  <c r="H8" i="23"/>
  <c r="I8" i="23"/>
  <c r="J8" i="23"/>
  <c r="K8" i="23"/>
  <c r="L8" i="23"/>
  <c r="M8" i="23"/>
  <c r="N8" i="23"/>
  <c r="O8" i="23"/>
  <c r="P8" i="23"/>
  <c r="Q8" i="23"/>
  <c r="R8" i="23"/>
  <c r="S8" i="23"/>
  <c r="T8" i="23"/>
  <c r="U8" i="23"/>
  <c r="V8" i="23"/>
  <c r="W8" i="23"/>
  <c r="X8" i="23"/>
  <c r="Y8" i="23"/>
  <c r="Z8" i="23"/>
  <c r="AA8" i="23"/>
  <c r="AB8" i="23"/>
  <c r="AC8" i="23"/>
  <c r="AD8" i="23"/>
  <c r="AE8" i="23"/>
  <c r="AF8" i="23"/>
  <c r="AG8" i="23"/>
  <c r="AH8" i="23"/>
  <c r="AI8" i="23"/>
  <c r="AJ8" i="23"/>
  <c r="AK8" i="23"/>
  <c r="AL8" i="23"/>
  <c r="AM8" i="23"/>
  <c r="AN8" i="23"/>
  <c r="AO8" i="23"/>
  <c r="AP8" i="23"/>
  <c r="AQ8" i="23"/>
  <c r="AR8" i="23"/>
  <c r="AS8" i="23"/>
  <c r="AT8" i="23"/>
  <c r="AU8" i="23"/>
  <c r="A9" i="23"/>
  <c r="B9" i="23"/>
  <c r="C9" i="23"/>
  <c r="D9" i="23"/>
  <c r="E9" i="23"/>
  <c r="F9" i="23"/>
  <c r="G9" i="23"/>
  <c r="H9" i="23"/>
  <c r="I9" i="23"/>
  <c r="J9" i="23"/>
  <c r="K9" i="23"/>
  <c r="L9" i="23"/>
  <c r="M9" i="23"/>
  <c r="N9" i="23"/>
  <c r="O9" i="23"/>
  <c r="P9" i="23"/>
  <c r="Q9" i="23"/>
  <c r="R9" i="23"/>
  <c r="S9" i="23"/>
  <c r="T9" i="23"/>
  <c r="U9" i="23"/>
  <c r="V9" i="23"/>
  <c r="W9" i="23"/>
  <c r="X9" i="23"/>
  <c r="Y9" i="23"/>
  <c r="Z9" i="23"/>
  <c r="AA9" i="23"/>
  <c r="AB9" i="23"/>
  <c r="AC9" i="23"/>
  <c r="AD9" i="23"/>
  <c r="AE9" i="23"/>
  <c r="AF9" i="23"/>
  <c r="AG9" i="23"/>
  <c r="AH9" i="23"/>
  <c r="AI9" i="23"/>
  <c r="AJ9" i="23"/>
  <c r="AK9" i="23"/>
  <c r="AL9" i="23"/>
  <c r="AM9" i="23"/>
  <c r="AN9" i="23"/>
  <c r="AO9" i="23"/>
  <c r="AP9" i="23"/>
  <c r="AQ9" i="23"/>
  <c r="AR9" i="23"/>
  <c r="AS9" i="23"/>
  <c r="AT9" i="23"/>
  <c r="AU9" i="23"/>
  <c r="A10" i="23"/>
  <c r="B10" i="23"/>
  <c r="C10" i="23"/>
  <c r="D10" i="23"/>
  <c r="E10" i="23"/>
  <c r="F10" i="23"/>
  <c r="G10" i="23"/>
  <c r="H10" i="23"/>
  <c r="I10" i="23"/>
  <c r="J10" i="23"/>
  <c r="K10" i="23"/>
  <c r="L10" i="23"/>
  <c r="M10" i="23"/>
  <c r="N10" i="23"/>
  <c r="O10" i="23"/>
  <c r="P10" i="23"/>
  <c r="Q10" i="23"/>
  <c r="R10" i="23"/>
  <c r="S10" i="23"/>
  <c r="T10" i="23"/>
  <c r="U10" i="23"/>
  <c r="V10" i="23"/>
  <c r="W10" i="23"/>
  <c r="X10" i="23"/>
  <c r="Y10" i="23"/>
  <c r="Z10" i="23"/>
  <c r="AA10" i="23"/>
  <c r="AB10" i="23"/>
  <c r="AC10" i="23"/>
  <c r="AD10" i="23"/>
  <c r="AE10" i="23"/>
  <c r="AF10" i="23"/>
  <c r="AG10" i="23"/>
  <c r="AH10" i="23"/>
  <c r="AI10" i="23"/>
  <c r="AJ10" i="23"/>
  <c r="AK10" i="23"/>
  <c r="AL10" i="23"/>
  <c r="AM10" i="23"/>
  <c r="AN10" i="23"/>
  <c r="AO10" i="23"/>
  <c r="AP10" i="23"/>
  <c r="AQ10" i="23"/>
  <c r="AR10" i="23"/>
  <c r="AS10" i="23"/>
  <c r="AT10" i="23"/>
  <c r="AU10" i="23"/>
  <c r="A11" i="23"/>
  <c r="B11" i="23"/>
  <c r="C11" i="23"/>
  <c r="D11" i="23"/>
  <c r="E11" i="23"/>
  <c r="F11" i="23"/>
  <c r="G11" i="23"/>
  <c r="H11" i="23"/>
  <c r="I11" i="23"/>
  <c r="J11" i="23"/>
  <c r="K11" i="23"/>
  <c r="L11" i="23"/>
  <c r="M11" i="23"/>
  <c r="N11" i="23"/>
  <c r="O11" i="23"/>
  <c r="P11" i="23"/>
  <c r="Q11" i="23"/>
  <c r="R11" i="23"/>
  <c r="S11" i="23"/>
  <c r="T11" i="23"/>
  <c r="U11" i="23"/>
  <c r="V11" i="23"/>
  <c r="W11" i="23"/>
  <c r="X11" i="23"/>
  <c r="Y11" i="23"/>
  <c r="Z11" i="23"/>
  <c r="AA11" i="23"/>
  <c r="AB11" i="23"/>
  <c r="AC11" i="23"/>
  <c r="AD11" i="23"/>
  <c r="AE11" i="23"/>
  <c r="AF11" i="23"/>
  <c r="AG11" i="23"/>
  <c r="AH11" i="23"/>
  <c r="AI11" i="23"/>
  <c r="AJ11" i="23"/>
  <c r="AK11" i="23"/>
  <c r="AL11" i="23"/>
  <c r="AM11" i="23"/>
  <c r="AN11" i="23"/>
  <c r="AO11" i="23"/>
  <c r="AP11" i="23"/>
  <c r="AQ11" i="23"/>
  <c r="AR11" i="23"/>
  <c r="AS11" i="23"/>
  <c r="AT11" i="23"/>
  <c r="AU11" i="23"/>
  <c r="A12" i="23"/>
  <c r="B12" i="23"/>
  <c r="C12" i="23"/>
  <c r="D12" i="23"/>
  <c r="E12" i="23"/>
  <c r="F12" i="23"/>
  <c r="G12" i="23"/>
  <c r="H12" i="23"/>
  <c r="I12" i="23"/>
  <c r="J12" i="23"/>
  <c r="K12" i="23"/>
  <c r="L12" i="23"/>
  <c r="M12" i="23"/>
  <c r="N12" i="23"/>
  <c r="O12" i="23"/>
  <c r="P12" i="23"/>
  <c r="Q12" i="23"/>
  <c r="R12" i="23"/>
  <c r="S12" i="23"/>
  <c r="T12" i="23"/>
  <c r="U12" i="23"/>
  <c r="V12" i="23"/>
  <c r="W12" i="23"/>
  <c r="X12" i="23"/>
  <c r="Y12" i="23"/>
  <c r="Z12" i="23"/>
  <c r="AA12" i="23"/>
  <c r="AB12" i="23"/>
  <c r="AC12" i="23"/>
  <c r="AD12" i="23"/>
  <c r="AE12" i="23"/>
  <c r="AF12" i="23"/>
  <c r="AG12" i="23"/>
  <c r="AH12" i="23"/>
  <c r="AI12" i="23"/>
  <c r="AJ12" i="23"/>
  <c r="AK12" i="23"/>
  <c r="AL12" i="23"/>
  <c r="AM12" i="23"/>
  <c r="AN12" i="23"/>
  <c r="AO12" i="23"/>
  <c r="AP12" i="23"/>
  <c r="AQ12" i="23"/>
  <c r="AR12" i="23"/>
  <c r="AS12" i="23"/>
  <c r="AT12" i="23"/>
  <c r="AU12" i="23"/>
  <c r="A13" i="23"/>
  <c r="B13" i="23"/>
  <c r="C13" i="23"/>
  <c r="D13" i="23"/>
  <c r="E13" i="23"/>
  <c r="F13" i="23"/>
  <c r="G13" i="23"/>
  <c r="H13" i="23"/>
  <c r="I13" i="23"/>
  <c r="J13" i="23"/>
  <c r="K13" i="23"/>
  <c r="L13" i="23"/>
  <c r="M13" i="23"/>
  <c r="N13" i="23"/>
  <c r="O13" i="23"/>
  <c r="P13" i="23"/>
  <c r="Q13" i="23"/>
  <c r="R13" i="23"/>
  <c r="S13" i="23"/>
  <c r="T13" i="23"/>
  <c r="U13" i="23"/>
  <c r="V13" i="23"/>
  <c r="W13" i="23"/>
  <c r="X13" i="23"/>
  <c r="Y13" i="23"/>
  <c r="Z13" i="23"/>
  <c r="AA13" i="23"/>
  <c r="AB13" i="23"/>
  <c r="AC13" i="23"/>
  <c r="AD13" i="23"/>
  <c r="AE13" i="23"/>
  <c r="AF13" i="23"/>
  <c r="AG13" i="23"/>
  <c r="AH13" i="23"/>
  <c r="AI13" i="23"/>
  <c r="AJ13" i="23"/>
  <c r="AK13" i="23"/>
  <c r="AL13" i="23"/>
  <c r="AM13" i="23"/>
  <c r="AN13" i="23"/>
  <c r="AO13" i="23"/>
  <c r="AP13" i="23"/>
  <c r="AQ13" i="23"/>
  <c r="AR13" i="23"/>
  <c r="AS13" i="23"/>
  <c r="AT13" i="23"/>
  <c r="AU13" i="23"/>
  <c r="A14" i="23"/>
  <c r="B14" i="23"/>
  <c r="C14" i="23"/>
  <c r="D14" i="23"/>
  <c r="E14" i="23"/>
  <c r="F14" i="23"/>
  <c r="G14" i="23"/>
  <c r="H14" i="23"/>
  <c r="I14" i="23"/>
  <c r="J14" i="23"/>
  <c r="K14" i="23"/>
  <c r="L14" i="23"/>
  <c r="M14" i="23"/>
  <c r="N14" i="23"/>
  <c r="O14" i="23"/>
  <c r="P14" i="23"/>
  <c r="Q14" i="23"/>
  <c r="R14" i="23"/>
  <c r="S14" i="23"/>
  <c r="T14" i="23"/>
  <c r="U14" i="23"/>
  <c r="V14" i="23"/>
  <c r="W14" i="23"/>
  <c r="X14" i="23"/>
  <c r="Y14" i="23"/>
  <c r="Z14" i="23"/>
  <c r="AA14" i="23"/>
  <c r="AB14" i="23"/>
  <c r="AC14" i="23"/>
  <c r="AD14" i="23"/>
  <c r="AE14" i="23"/>
  <c r="AF14" i="23"/>
  <c r="AG14" i="23"/>
  <c r="AH14" i="23"/>
  <c r="AI14" i="23"/>
  <c r="AJ14" i="23"/>
  <c r="AK14" i="23"/>
  <c r="AL14" i="23"/>
  <c r="AM14" i="23"/>
  <c r="AN14" i="23"/>
  <c r="AO14" i="23"/>
  <c r="AP14" i="23"/>
  <c r="AQ14" i="23"/>
  <c r="AR14" i="23"/>
  <c r="AS14" i="23"/>
  <c r="AT14" i="23"/>
  <c r="AU14" i="23"/>
  <c r="A15" i="23"/>
  <c r="B15" i="23"/>
  <c r="C15" i="23"/>
  <c r="D15" i="23"/>
  <c r="E15" i="23"/>
  <c r="F15" i="23"/>
  <c r="G15" i="23"/>
  <c r="H15" i="23"/>
  <c r="I15" i="23"/>
  <c r="J15" i="23"/>
  <c r="K15" i="23"/>
  <c r="L15" i="23"/>
  <c r="M15" i="23"/>
  <c r="N15" i="23"/>
  <c r="O15" i="23"/>
  <c r="P15" i="23"/>
  <c r="Q15" i="23"/>
  <c r="R15" i="23"/>
  <c r="S15" i="23"/>
  <c r="T15" i="23"/>
  <c r="U15" i="23"/>
  <c r="V15" i="23"/>
  <c r="W15" i="23"/>
  <c r="X15" i="23"/>
  <c r="Y15" i="23"/>
  <c r="Z15" i="23"/>
  <c r="AA15" i="23"/>
  <c r="AB15" i="23"/>
  <c r="AC15" i="23"/>
  <c r="AD15" i="23"/>
  <c r="AE15" i="23"/>
  <c r="AF15" i="23"/>
  <c r="AG15" i="23"/>
  <c r="AH15" i="23"/>
  <c r="AI15" i="23"/>
  <c r="AJ15" i="23"/>
  <c r="AK15" i="23"/>
  <c r="AL15" i="23"/>
  <c r="AM15" i="23"/>
  <c r="AN15" i="23"/>
  <c r="AO15" i="23"/>
  <c r="AP15" i="23"/>
  <c r="AQ15" i="23"/>
  <c r="AR15" i="23"/>
  <c r="AS15" i="23"/>
  <c r="AT15" i="23"/>
  <c r="AU15" i="23"/>
  <c r="A16" i="23"/>
  <c r="B16" i="23"/>
  <c r="C16" i="23"/>
  <c r="D16" i="23"/>
  <c r="E16" i="23"/>
  <c r="F16" i="23"/>
  <c r="G16" i="23"/>
  <c r="H16" i="23"/>
  <c r="I16" i="23"/>
  <c r="J16" i="23"/>
  <c r="K16" i="23"/>
  <c r="L16" i="23"/>
  <c r="M16" i="23"/>
  <c r="N16" i="23"/>
  <c r="O16" i="23"/>
  <c r="P16" i="23"/>
  <c r="Q16" i="23"/>
  <c r="R16" i="23"/>
  <c r="S16" i="23"/>
  <c r="T16" i="23"/>
  <c r="U16" i="23"/>
  <c r="V16" i="23"/>
  <c r="W16" i="23"/>
  <c r="X16" i="23"/>
  <c r="Y16" i="23"/>
  <c r="Z16" i="23"/>
  <c r="AA16" i="23"/>
  <c r="AB16" i="23"/>
  <c r="AC16" i="23"/>
  <c r="AD16" i="23"/>
  <c r="AE16" i="23"/>
  <c r="AF16" i="23"/>
  <c r="AG16" i="23"/>
  <c r="AH16" i="23"/>
  <c r="AI16" i="23"/>
  <c r="AJ16" i="23"/>
  <c r="AK16" i="23"/>
  <c r="AL16" i="23"/>
  <c r="AM16" i="23"/>
  <c r="AN16" i="23"/>
  <c r="AO16" i="23"/>
  <c r="AP16" i="23"/>
  <c r="AQ16" i="23"/>
  <c r="AR16" i="23"/>
  <c r="AS16" i="23"/>
  <c r="AT16" i="23"/>
  <c r="AU16" i="23"/>
  <c r="A17" i="23"/>
  <c r="B17" i="23"/>
  <c r="C17" i="23"/>
  <c r="D17" i="23"/>
  <c r="E17" i="23"/>
  <c r="F17" i="23"/>
  <c r="G17" i="23"/>
  <c r="H17" i="23"/>
  <c r="I17" i="23"/>
  <c r="J17" i="23"/>
  <c r="K17" i="23"/>
  <c r="L17" i="23"/>
  <c r="M17" i="23"/>
  <c r="N17" i="23"/>
  <c r="O17" i="23"/>
  <c r="P17" i="23"/>
  <c r="Q17" i="23"/>
  <c r="R17" i="23"/>
  <c r="S17" i="23"/>
  <c r="T17" i="23"/>
  <c r="U17" i="23"/>
  <c r="V17" i="23"/>
  <c r="W17" i="23"/>
  <c r="X17" i="23"/>
  <c r="Y17" i="23"/>
  <c r="Z17" i="23"/>
  <c r="AA17" i="23"/>
  <c r="AB17" i="23"/>
  <c r="AC17" i="23"/>
  <c r="AD17" i="23"/>
  <c r="AE17" i="23"/>
  <c r="AF17" i="23"/>
  <c r="AG17" i="23"/>
  <c r="AH17" i="23"/>
  <c r="AI17" i="23"/>
  <c r="AJ17" i="23"/>
  <c r="AK17" i="23"/>
  <c r="AL17" i="23"/>
  <c r="AM17" i="23"/>
  <c r="AN17" i="23"/>
  <c r="AO17" i="23"/>
  <c r="AP17" i="23"/>
  <c r="AQ17" i="23"/>
  <c r="AR17" i="23"/>
  <c r="AS17" i="23"/>
  <c r="AT17" i="23"/>
  <c r="AU17" i="23"/>
  <c r="A18" i="23"/>
  <c r="B18" i="23"/>
  <c r="C18" i="23"/>
  <c r="D18" i="23"/>
  <c r="E18" i="23"/>
  <c r="F18" i="23"/>
  <c r="G18" i="23"/>
  <c r="H18" i="23"/>
  <c r="I18" i="23"/>
  <c r="J18" i="23"/>
  <c r="K18" i="23"/>
  <c r="L18" i="23"/>
  <c r="M18" i="23"/>
  <c r="N18" i="23"/>
  <c r="O18" i="23"/>
  <c r="P18" i="23"/>
  <c r="Q18" i="23"/>
  <c r="R18" i="23"/>
  <c r="S18" i="23"/>
  <c r="T18" i="23"/>
  <c r="U18" i="23"/>
  <c r="V18" i="23"/>
  <c r="W18" i="23"/>
  <c r="X18" i="23"/>
  <c r="Y18" i="23"/>
  <c r="Z18" i="23"/>
  <c r="AA18" i="23"/>
  <c r="AB18" i="23"/>
  <c r="AC18" i="23"/>
  <c r="AD18" i="23"/>
  <c r="AE18" i="23"/>
  <c r="AF18" i="23"/>
  <c r="AG18" i="23"/>
  <c r="AH18" i="23"/>
  <c r="AI18" i="23"/>
  <c r="AJ18" i="23"/>
  <c r="AK18" i="23"/>
  <c r="AL18" i="23"/>
  <c r="AM18" i="23"/>
  <c r="AN18" i="23"/>
  <c r="AO18" i="23"/>
  <c r="AP18" i="23"/>
  <c r="AQ18" i="23"/>
  <c r="AR18" i="23"/>
  <c r="AS18" i="23"/>
  <c r="AT18" i="23"/>
  <c r="AU18" i="23"/>
  <c r="A19" i="23"/>
  <c r="B19" i="23"/>
  <c r="C19" i="23"/>
  <c r="D19" i="23"/>
  <c r="E19" i="23"/>
  <c r="F19" i="23"/>
  <c r="G19" i="23"/>
  <c r="H19" i="23"/>
  <c r="I19" i="23"/>
  <c r="J19" i="23"/>
  <c r="K19" i="23"/>
  <c r="L19" i="23"/>
  <c r="M19" i="23"/>
  <c r="N19" i="23"/>
  <c r="O19" i="23"/>
  <c r="P19" i="23"/>
  <c r="Q19" i="23"/>
  <c r="R19" i="23"/>
  <c r="S19" i="23"/>
  <c r="T19" i="23"/>
  <c r="U19" i="23"/>
  <c r="V19" i="23"/>
  <c r="W19" i="23"/>
  <c r="X19" i="23"/>
  <c r="Y19" i="23"/>
  <c r="Z19" i="23"/>
  <c r="AA19" i="23"/>
  <c r="AB19" i="23"/>
  <c r="AC19" i="23"/>
  <c r="AD19" i="23"/>
  <c r="AE19" i="23"/>
  <c r="AF19" i="23"/>
  <c r="AG19" i="23"/>
  <c r="AH19" i="23"/>
  <c r="AI19" i="23"/>
  <c r="AJ19" i="23"/>
  <c r="AK19" i="23"/>
  <c r="AL19" i="23"/>
  <c r="AM19" i="23"/>
  <c r="AN19" i="23"/>
  <c r="AO19" i="23"/>
  <c r="AP19" i="23"/>
  <c r="AQ19" i="23"/>
  <c r="AR19" i="23"/>
  <c r="AS19" i="23"/>
  <c r="AT19" i="23"/>
  <c r="AU19" i="23"/>
  <c r="A20" i="23"/>
  <c r="B20" i="23"/>
  <c r="C20" i="23"/>
  <c r="D20" i="23"/>
  <c r="E20" i="23"/>
  <c r="F20" i="23"/>
  <c r="G20" i="23"/>
  <c r="H20" i="23"/>
  <c r="I20" i="23"/>
  <c r="J20" i="23"/>
  <c r="K20" i="23"/>
  <c r="L20" i="23"/>
  <c r="M20" i="23"/>
  <c r="N20" i="23"/>
  <c r="O20" i="23"/>
  <c r="P20" i="23"/>
  <c r="Q20" i="23"/>
  <c r="R20" i="23"/>
  <c r="S20" i="23"/>
  <c r="T20" i="23"/>
  <c r="U20" i="23"/>
  <c r="V20" i="23"/>
  <c r="W20" i="23"/>
  <c r="X20" i="23"/>
  <c r="Y20" i="23"/>
  <c r="Z20" i="23"/>
  <c r="AA20" i="23"/>
  <c r="AB20" i="23"/>
  <c r="AC20" i="23"/>
  <c r="AD20" i="23"/>
  <c r="AE20" i="23"/>
  <c r="AF20" i="23"/>
  <c r="AG20" i="23"/>
  <c r="AH20" i="23"/>
  <c r="AI20" i="23"/>
  <c r="AJ20" i="23"/>
  <c r="AK20" i="23"/>
  <c r="AL20" i="23"/>
  <c r="AM20" i="23"/>
  <c r="AN20" i="23"/>
  <c r="AO20" i="23"/>
  <c r="AP20" i="23"/>
  <c r="AQ20" i="23"/>
  <c r="AR20" i="23"/>
  <c r="AS20" i="23"/>
  <c r="AT20" i="23"/>
  <c r="AU20" i="23"/>
  <c r="A21" i="23"/>
  <c r="B21" i="23"/>
  <c r="C21" i="23"/>
  <c r="D21" i="23"/>
  <c r="E21" i="23"/>
  <c r="F21" i="23"/>
  <c r="G21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X21" i="23"/>
  <c r="Y21" i="23"/>
  <c r="Z21" i="23"/>
  <c r="AA21" i="23"/>
  <c r="AB21" i="23"/>
  <c r="AC21" i="23"/>
  <c r="AD21" i="23"/>
  <c r="AE21" i="23"/>
  <c r="AF21" i="23"/>
  <c r="AG21" i="23"/>
  <c r="AH21" i="23"/>
  <c r="AI21" i="23"/>
  <c r="AJ21" i="23"/>
  <c r="AK21" i="23"/>
  <c r="AL21" i="23"/>
  <c r="AM21" i="23"/>
  <c r="AN21" i="23"/>
  <c r="AO21" i="23"/>
  <c r="AP21" i="23"/>
  <c r="AQ21" i="23"/>
  <c r="AR21" i="23"/>
  <c r="AS21" i="23"/>
  <c r="AT21" i="23"/>
  <c r="AU21" i="23"/>
  <c r="A22" i="23"/>
  <c r="B22" i="23"/>
  <c r="C22" i="23"/>
  <c r="D22" i="23"/>
  <c r="E22" i="23"/>
  <c r="F22" i="23"/>
  <c r="G22" i="23"/>
  <c r="H22" i="23"/>
  <c r="I22" i="23"/>
  <c r="J22" i="23"/>
  <c r="K22" i="23"/>
  <c r="L22" i="23"/>
  <c r="M22" i="23"/>
  <c r="N22" i="23"/>
  <c r="O22" i="23"/>
  <c r="P22" i="23"/>
  <c r="Q22" i="23"/>
  <c r="R22" i="23"/>
  <c r="S22" i="23"/>
  <c r="T22" i="23"/>
  <c r="U22" i="23"/>
  <c r="V22" i="23"/>
  <c r="W22" i="23"/>
  <c r="X22" i="23"/>
  <c r="Y22" i="23"/>
  <c r="Z22" i="23"/>
  <c r="AA22" i="23"/>
  <c r="AB22" i="23"/>
  <c r="AC22" i="23"/>
  <c r="AD22" i="23"/>
  <c r="AE22" i="23"/>
  <c r="AF22" i="23"/>
  <c r="AG22" i="23"/>
  <c r="AH22" i="23"/>
  <c r="AI22" i="23"/>
  <c r="AJ22" i="23"/>
  <c r="AK22" i="23"/>
  <c r="AL22" i="23"/>
  <c r="AM22" i="23"/>
  <c r="AN22" i="23"/>
  <c r="AO22" i="23"/>
  <c r="AP22" i="23"/>
  <c r="AQ22" i="23"/>
  <c r="AR22" i="23"/>
  <c r="AS22" i="23"/>
  <c r="AT22" i="23"/>
  <c r="AU22" i="23"/>
  <c r="A23" i="23"/>
  <c r="B23" i="23"/>
  <c r="C23" i="23"/>
  <c r="D23" i="23"/>
  <c r="E23" i="23"/>
  <c r="F23" i="23"/>
  <c r="G23" i="23"/>
  <c r="H23" i="23"/>
  <c r="I23" i="23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W23" i="23"/>
  <c r="X23" i="23"/>
  <c r="Y23" i="23"/>
  <c r="Z23" i="23"/>
  <c r="AA23" i="23"/>
  <c r="AB23" i="23"/>
  <c r="AC23" i="23"/>
  <c r="AD23" i="23"/>
  <c r="AE23" i="23"/>
  <c r="AF23" i="23"/>
  <c r="AG23" i="23"/>
  <c r="AH23" i="23"/>
  <c r="AI23" i="23"/>
  <c r="AJ23" i="23"/>
  <c r="AK23" i="23"/>
  <c r="AL23" i="23"/>
  <c r="AM23" i="23"/>
  <c r="AN23" i="23"/>
  <c r="AO23" i="23"/>
  <c r="AP23" i="23"/>
  <c r="AQ23" i="23"/>
  <c r="AR23" i="23"/>
  <c r="AS23" i="23"/>
  <c r="AT23" i="23"/>
  <c r="AU23" i="23"/>
  <c r="A24" i="23"/>
  <c r="B24" i="23"/>
  <c r="C24" i="23"/>
  <c r="D24" i="23"/>
  <c r="E24" i="23"/>
  <c r="F24" i="23"/>
  <c r="G24" i="23"/>
  <c r="H24" i="23"/>
  <c r="I24" i="23"/>
  <c r="J24" i="23"/>
  <c r="K24" i="23"/>
  <c r="L24" i="23"/>
  <c r="M24" i="23"/>
  <c r="N24" i="23"/>
  <c r="O24" i="23"/>
  <c r="P24" i="23"/>
  <c r="Q24" i="23"/>
  <c r="R24" i="23"/>
  <c r="S24" i="23"/>
  <c r="T24" i="23"/>
  <c r="U24" i="23"/>
  <c r="V24" i="23"/>
  <c r="W24" i="23"/>
  <c r="X24" i="23"/>
  <c r="Y24" i="23"/>
  <c r="Z24" i="23"/>
  <c r="AA24" i="23"/>
  <c r="AB24" i="23"/>
  <c r="AC24" i="23"/>
  <c r="AD24" i="23"/>
  <c r="AE24" i="23"/>
  <c r="AF24" i="23"/>
  <c r="AG24" i="23"/>
  <c r="AH24" i="23"/>
  <c r="AI24" i="23"/>
  <c r="AJ24" i="23"/>
  <c r="AK24" i="23"/>
  <c r="AL24" i="23"/>
  <c r="AM24" i="23"/>
  <c r="AN24" i="23"/>
  <c r="AO24" i="23"/>
  <c r="AP24" i="23"/>
  <c r="AQ24" i="23"/>
  <c r="AR24" i="23"/>
  <c r="AS24" i="23"/>
  <c r="AT24" i="23"/>
  <c r="AU24" i="23"/>
  <c r="A25" i="23"/>
  <c r="B25" i="23"/>
  <c r="C25" i="23"/>
  <c r="D25" i="23"/>
  <c r="E25" i="23"/>
  <c r="F25" i="23"/>
  <c r="G25" i="23"/>
  <c r="H25" i="23"/>
  <c r="I25" i="23"/>
  <c r="J25" i="23"/>
  <c r="K25" i="23"/>
  <c r="L25" i="23"/>
  <c r="M25" i="23"/>
  <c r="N25" i="23"/>
  <c r="O25" i="23"/>
  <c r="P25" i="23"/>
  <c r="Q25" i="23"/>
  <c r="R25" i="23"/>
  <c r="S25" i="23"/>
  <c r="T25" i="23"/>
  <c r="U25" i="23"/>
  <c r="V25" i="23"/>
  <c r="W25" i="23"/>
  <c r="X25" i="23"/>
  <c r="Y25" i="23"/>
  <c r="Z25" i="23"/>
  <c r="AA25" i="23"/>
  <c r="AB25" i="23"/>
  <c r="AC25" i="23"/>
  <c r="AD25" i="23"/>
  <c r="AE25" i="23"/>
  <c r="AF25" i="23"/>
  <c r="AG25" i="23"/>
  <c r="AH25" i="23"/>
  <c r="AI25" i="23"/>
  <c r="AJ25" i="23"/>
  <c r="AK25" i="23"/>
  <c r="AL25" i="23"/>
  <c r="AM25" i="23"/>
  <c r="AN25" i="23"/>
  <c r="AO25" i="23"/>
  <c r="AP25" i="23"/>
  <c r="AQ25" i="23"/>
  <c r="AR25" i="23"/>
  <c r="AS25" i="23"/>
  <c r="AT25" i="23"/>
  <c r="AU25" i="23"/>
  <c r="A26" i="23"/>
  <c r="B26" i="23"/>
  <c r="C26" i="23"/>
  <c r="D26" i="23"/>
  <c r="E26" i="23"/>
  <c r="F26" i="23"/>
  <c r="G26" i="23"/>
  <c r="H26" i="23"/>
  <c r="I26" i="23"/>
  <c r="J26" i="23"/>
  <c r="K26" i="23"/>
  <c r="L26" i="23"/>
  <c r="M26" i="23"/>
  <c r="N26" i="23"/>
  <c r="O26" i="23"/>
  <c r="P26" i="23"/>
  <c r="Q26" i="23"/>
  <c r="R26" i="23"/>
  <c r="S26" i="23"/>
  <c r="T26" i="23"/>
  <c r="U26" i="23"/>
  <c r="V26" i="23"/>
  <c r="W26" i="23"/>
  <c r="X26" i="23"/>
  <c r="Y26" i="23"/>
  <c r="Z26" i="23"/>
  <c r="AA26" i="23"/>
  <c r="AB26" i="23"/>
  <c r="AC26" i="23"/>
  <c r="AD26" i="23"/>
  <c r="AE26" i="23"/>
  <c r="AF26" i="23"/>
  <c r="AG26" i="23"/>
  <c r="AH26" i="23"/>
  <c r="AI26" i="23"/>
  <c r="AJ26" i="23"/>
  <c r="AK26" i="23"/>
  <c r="AL26" i="23"/>
  <c r="AM26" i="23"/>
  <c r="AN26" i="23"/>
  <c r="AO26" i="23"/>
  <c r="AP26" i="23"/>
  <c r="AQ26" i="23"/>
  <c r="AR26" i="23"/>
  <c r="AS26" i="23"/>
  <c r="AT26" i="23"/>
  <c r="AU26" i="23"/>
  <c r="A27" i="23"/>
  <c r="B27" i="23"/>
  <c r="C27" i="23"/>
  <c r="D27" i="23"/>
  <c r="E27" i="23"/>
  <c r="F27" i="23"/>
  <c r="G27" i="23"/>
  <c r="H27" i="23"/>
  <c r="I27" i="23"/>
  <c r="J27" i="23"/>
  <c r="K27" i="23"/>
  <c r="L27" i="23"/>
  <c r="M27" i="23"/>
  <c r="N27" i="23"/>
  <c r="O27" i="23"/>
  <c r="P27" i="23"/>
  <c r="Q27" i="23"/>
  <c r="R27" i="23"/>
  <c r="S27" i="23"/>
  <c r="T27" i="23"/>
  <c r="U27" i="23"/>
  <c r="V27" i="23"/>
  <c r="W27" i="23"/>
  <c r="X27" i="23"/>
  <c r="Y27" i="23"/>
  <c r="Z27" i="23"/>
  <c r="AA27" i="23"/>
  <c r="AB27" i="23"/>
  <c r="AC27" i="23"/>
  <c r="AD27" i="23"/>
  <c r="AE27" i="23"/>
  <c r="AF27" i="23"/>
  <c r="AG27" i="23"/>
  <c r="AH27" i="23"/>
  <c r="AI27" i="23"/>
  <c r="AJ27" i="23"/>
  <c r="AK27" i="23"/>
  <c r="AL27" i="23"/>
  <c r="AM27" i="23"/>
  <c r="AN27" i="23"/>
  <c r="AO27" i="23"/>
  <c r="AP27" i="23"/>
  <c r="AQ27" i="23"/>
  <c r="AR27" i="23"/>
  <c r="AS27" i="23"/>
  <c r="AT27" i="23"/>
  <c r="AU27" i="23"/>
  <c r="A6" i="23"/>
  <c r="B6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7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8" i="12"/>
  <c r="B8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9" i="12"/>
  <c r="B9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10" i="12"/>
  <c r="B10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11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12" i="12"/>
  <c r="B12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13" i="12"/>
  <c r="B13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14" i="12"/>
  <c r="B14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U14" i="12"/>
  <c r="A15" i="12"/>
  <c r="B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U15" i="12"/>
  <c r="A16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U16" i="12"/>
  <c r="A17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18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19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20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21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22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U22" i="12"/>
  <c r="A23" i="12"/>
  <c r="B23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U23" i="12"/>
  <c r="A24" i="12"/>
  <c r="B24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25" i="12"/>
  <c r="B25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U25" i="12"/>
  <c r="A26" i="12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27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28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29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30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U30" i="12"/>
  <c r="A31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U31" i="12"/>
  <c r="A6" i="12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6" i="3"/>
  <c r="B6" i="15"/>
  <c r="C6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AK6" i="15"/>
  <c r="AL6" i="15"/>
  <c r="AM6" i="15"/>
  <c r="AN6" i="15"/>
  <c r="AO6" i="15"/>
  <c r="AP6" i="15"/>
  <c r="AQ6" i="15"/>
  <c r="AR6" i="15"/>
  <c r="AS6" i="15"/>
  <c r="AT6" i="15"/>
  <c r="AU6" i="15"/>
  <c r="A7" i="15"/>
  <c r="B7" i="15"/>
  <c r="C7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AB7" i="15"/>
  <c r="AC7" i="15"/>
  <c r="AD7" i="15"/>
  <c r="AE7" i="15"/>
  <c r="AF7" i="15"/>
  <c r="AG7" i="15"/>
  <c r="AH7" i="15"/>
  <c r="AI7" i="15"/>
  <c r="AJ7" i="15"/>
  <c r="AK7" i="15"/>
  <c r="AL7" i="15"/>
  <c r="AM7" i="15"/>
  <c r="AN7" i="15"/>
  <c r="AO7" i="15"/>
  <c r="AP7" i="15"/>
  <c r="AQ7" i="15"/>
  <c r="AR7" i="15"/>
  <c r="AS7" i="15"/>
  <c r="AT7" i="15"/>
  <c r="AU7" i="15"/>
  <c r="A8" i="15"/>
  <c r="B8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AL8" i="15"/>
  <c r="AM8" i="15"/>
  <c r="AN8" i="15"/>
  <c r="AO8" i="15"/>
  <c r="AP8" i="15"/>
  <c r="AQ8" i="15"/>
  <c r="AR8" i="15"/>
  <c r="AS8" i="15"/>
  <c r="AT8" i="15"/>
  <c r="AU8" i="15"/>
  <c r="A9" i="15"/>
  <c r="B9" i="15"/>
  <c r="C9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AD9" i="15"/>
  <c r="AE9" i="15"/>
  <c r="AF9" i="15"/>
  <c r="AG9" i="15"/>
  <c r="AH9" i="15"/>
  <c r="AI9" i="15"/>
  <c r="AJ9" i="15"/>
  <c r="AK9" i="15"/>
  <c r="AL9" i="15"/>
  <c r="AM9" i="15"/>
  <c r="AN9" i="15"/>
  <c r="AO9" i="15"/>
  <c r="AP9" i="15"/>
  <c r="AQ9" i="15"/>
  <c r="AR9" i="15"/>
  <c r="AS9" i="15"/>
  <c r="AT9" i="15"/>
  <c r="AU9" i="15"/>
  <c r="A10" i="15"/>
  <c r="B10" i="15"/>
  <c r="C10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AA10" i="15"/>
  <c r="AB10" i="15"/>
  <c r="AC10" i="15"/>
  <c r="AD10" i="15"/>
  <c r="AE10" i="15"/>
  <c r="AF10" i="15"/>
  <c r="AG10" i="15"/>
  <c r="AH10" i="15"/>
  <c r="AI10" i="15"/>
  <c r="AJ10" i="15"/>
  <c r="AK10" i="15"/>
  <c r="AL10" i="15"/>
  <c r="AM10" i="15"/>
  <c r="AN10" i="15"/>
  <c r="AO10" i="15"/>
  <c r="AP10" i="15"/>
  <c r="AQ10" i="15"/>
  <c r="AR10" i="15"/>
  <c r="AS10" i="15"/>
  <c r="AT10" i="15"/>
  <c r="AU10" i="15"/>
  <c r="A11" i="15"/>
  <c r="B11" i="15"/>
  <c r="C11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AI11" i="15"/>
  <c r="AJ11" i="15"/>
  <c r="AK11" i="15"/>
  <c r="AL11" i="15"/>
  <c r="AM11" i="15"/>
  <c r="AN11" i="15"/>
  <c r="AO11" i="15"/>
  <c r="AP11" i="15"/>
  <c r="AQ11" i="15"/>
  <c r="AR11" i="15"/>
  <c r="AS11" i="15"/>
  <c r="AT11" i="15"/>
  <c r="AU11" i="15"/>
  <c r="A12" i="15"/>
  <c r="B12" i="15"/>
  <c r="C12" i="15"/>
  <c r="D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Y12" i="15"/>
  <c r="Z12" i="15"/>
  <c r="AA12" i="15"/>
  <c r="AB12" i="15"/>
  <c r="AC12" i="15"/>
  <c r="AD12" i="15"/>
  <c r="AE12" i="15"/>
  <c r="AF12" i="15"/>
  <c r="AG12" i="15"/>
  <c r="AH12" i="15"/>
  <c r="AI12" i="15"/>
  <c r="AJ12" i="15"/>
  <c r="AK12" i="15"/>
  <c r="AL12" i="15"/>
  <c r="AM12" i="15"/>
  <c r="AN12" i="15"/>
  <c r="AO12" i="15"/>
  <c r="AP12" i="15"/>
  <c r="AQ12" i="15"/>
  <c r="AR12" i="15"/>
  <c r="AS12" i="15"/>
  <c r="AT12" i="15"/>
  <c r="AU12" i="15"/>
  <c r="A13" i="15"/>
  <c r="B13" i="15"/>
  <c r="C13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AH13" i="15"/>
  <c r="AI13" i="15"/>
  <c r="AJ13" i="15"/>
  <c r="AK13" i="15"/>
  <c r="AL13" i="15"/>
  <c r="AM13" i="15"/>
  <c r="AN13" i="15"/>
  <c r="AO13" i="15"/>
  <c r="AP13" i="15"/>
  <c r="AQ13" i="15"/>
  <c r="AR13" i="15"/>
  <c r="AS13" i="15"/>
  <c r="AT13" i="15"/>
  <c r="AU13" i="15"/>
  <c r="A14" i="15"/>
  <c r="B14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Z14" i="15"/>
  <c r="AA14" i="15"/>
  <c r="AB14" i="15"/>
  <c r="AC14" i="15"/>
  <c r="AD14" i="15"/>
  <c r="AE14" i="15"/>
  <c r="AF14" i="15"/>
  <c r="AG14" i="15"/>
  <c r="AH14" i="15"/>
  <c r="AI14" i="15"/>
  <c r="AJ14" i="15"/>
  <c r="AK14" i="15"/>
  <c r="AL14" i="15"/>
  <c r="AM14" i="15"/>
  <c r="AN14" i="15"/>
  <c r="AO14" i="15"/>
  <c r="AP14" i="15"/>
  <c r="AQ14" i="15"/>
  <c r="AR14" i="15"/>
  <c r="AS14" i="15"/>
  <c r="AT14" i="15"/>
  <c r="AU14" i="15"/>
  <c r="A15" i="15"/>
  <c r="B15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Z15" i="15"/>
  <c r="AA15" i="15"/>
  <c r="AB15" i="15"/>
  <c r="AC15" i="15"/>
  <c r="AD15" i="15"/>
  <c r="AE15" i="15"/>
  <c r="AF15" i="15"/>
  <c r="AG15" i="15"/>
  <c r="AH15" i="15"/>
  <c r="AI15" i="15"/>
  <c r="AJ15" i="15"/>
  <c r="AK15" i="15"/>
  <c r="AL15" i="15"/>
  <c r="AM15" i="15"/>
  <c r="AN15" i="15"/>
  <c r="AO15" i="15"/>
  <c r="AP15" i="15"/>
  <c r="AQ15" i="15"/>
  <c r="AR15" i="15"/>
  <c r="AS15" i="15"/>
  <c r="AT15" i="15"/>
  <c r="AU15" i="15"/>
  <c r="A16" i="15"/>
  <c r="B16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AG16" i="15"/>
  <c r="AH16" i="15"/>
  <c r="AI16" i="15"/>
  <c r="AJ16" i="15"/>
  <c r="AK16" i="15"/>
  <c r="AL16" i="15"/>
  <c r="AM16" i="15"/>
  <c r="AN16" i="15"/>
  <c r="AO16" i="15"/>
  <c r="AP16" i="15"/>
  <c r="AQ16" i="15"/>
  <c r="AR16" i="15"/>
  <c r="AS16" i="15"/>
  <c r="AT16" i="15"/>
  <c r="AU16" i="15"/>
  <c r="A17" i="15"/>
  <c r="B17" i="15"/>
  <c r="C17" i="15"/>
  <c r="D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T17" i="15"/>
  <c r="U17" i="15"/>
  <c r="V17" i="15"/>
  <c r="W17" i="15"/>
  <c r="X17" i="15"/>
  <c r="Y17" i="15"/>
  <c r="Z17" i="15"/>
  <c r="AA17" i="15"/>
  <c r="AB17" i="15"/>
  <c r="AC17" i="15"/>
  <c r="AD17" i="15"/>
  <c r="AE17" i="15"/>
  <c r="AF17" i="15"/>
  <c r="AG17" i="15"/>
  <c r="AH17" i="15"/>
  <c r="AI17" i="15"/>
  <c r="AJ17" i="15"/>
  <c r="AK17" i="15"/>
  <c r="AL17" i="15"/>
  <c r="AM17" i="15"/>
  <c r="AN17" i="15"/>
  <c r="AO17" i="15"/>
  <c r="AP17" i="15"/>
  <c r="AQ17" i="15"/>
  <c r="AR17" i="15"/>
  <c r="AS17" i="15"/>
  <c r="AT17" i="15"/>
  <c r="AU17" i="15"/>
  <c r="A18" i="15"/>
  <c r="B18" i="15"/>
  <c r="C18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R18" i="15"/>
  <c r="S18" i="15"/>
  <c r="T18" i="15"/>
  <c r="U18" i="15"/>
  <c r="V18" i="15"/>
  <c r="W18" i="15"/>
  <c r="X18" i="15"/>
  <c r="Y18" i="15"/>
  <c r="Z18" i="15"/>
  <c r="AA18" i="15"/>
  <c r="AB18" i="15"/>
  <c r="AC18" i="15"/>
  <c r="AD18" i="15"/>
  <c r="AE18" i="15"/>
  <c r="AF18" i="15"/>
  <c r="AG18" i="15"/>
  <c r="AH18" i="15"/>
  <c r="AI18" i="15"/>
  <c r="AJ18" i="15"/>
  <c r="AK18" i="15"/>
  <c r="AL18" i="15"/>
  <c r="AM18" i="15"/>
  <c r="AN18" i="15"/>
  <c r="AO18" i="15"/>
  <c r="AP18" i="15"/>
  <c r="AQ18" i="15"/>
  <c r="AR18" i="15"/>
  <c r="AS18" i="15"/>
  <c r="AT18" i="15"/>
  <c r="AU18" i="15"/>
  <c r="A19" i="15"/>
  <c r="B19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AI19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20" i="15"/>
  <c r="B20" i="15"/>
  <c r="C20" i="15"/>
  <c r="D20" i="15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R20" i="15"/>
  <c r="S20" i="15"/>
  <c r="T20" i="15"/>
  <c r="U20" i="15"/>
  <c r="V20" i="15"/>
  <c r="W20" i="15"/>
  <c r="X20" i="15"/>
  <c r="Y20" i="15"/>
  <c r="Z20" i="15"/>
  <c r="AA20" i="15"/>
  <c r="AB20" i="15"/>
  <c r="AC20" i="15"/>
  <c r="AD20" i="15"/>
  <c r="AE20" i="15"/>
  <c r="AF20" i="15"/>
  <c r="AG20" i="15"/>
  <c r="AH20" i="15"/>
  <c r="AI20" i="15"/>
  <c r="AJ20" i="15"/>
  <c r="AK20" i="15"/>
  <c r="AL20" i="15"/>
  <c r="AM20" i="15"/>
  <c r="AN20" i="15"/>
  <c r="AO20" i="15"/>
  <c r="AP20" i="15"/>
  <c r="AQ20" i="15"/>
  <c r="AR20" i="15"/>
  <c r="AS20" i="15"/>
  <c r="AT20" i="15"/>
  <c r="AU20" i="15"/>
  <c r="A21" i="15"/>
  <c r="B21" i="15"/>
  <c r="C21" i="15"/>
  <c r="D21" i="15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T21" i="15"/>
  <c r="U21" i="15"/>
  <c r="V21" i="15"/>
  <c r="W21" i="15"/>
  <c r="X21" i="15"/>
  <c r="Y21" i="15"/>
  <c r="Z21" i="15"/>
  <c r="AA21" i="15"/>
  <c r="AB21" i="15"/>
  <c r="AC21" i="15"/>
  <c r="AD21" i="15"/>
  <c r="AE21" i="15"/>
  <c r="AF21" i="15"/>
  <c r="AG21" i="15"/>
  <c r="AH21" i="15"/>
  <c r="AI21" i="15"/>
  <c r="AJ21" i="15"/>
  <c r="AK21" i="15"/>
  <c r="AL21" i="15"/>
  <c r="AM21" i="15"/>
  <c r="AN21" i="15"/>
  <c r="AO21" i="15"/>
  <c r="AP21" i="15"/>
  <c r="AQ21" i="15"/>
  <c r="AR21" i="15"/>
  <c r="AS21" i="15"/>
  <c r="AT21" i="15"/>
  <c r="AU21" i="15"/>
  <c r="A22" i="15"/>
  <c r="B22" i="15"/>
  <c r="C22" i="15"/>
  <c r="D22" i="15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T22" i="15"/>
  <c r="U22" i="15"/>
  <c r="V22" i="15"/>
  <c r="W22" i="15"/>
  <c r="X22" i="15"/>
  <c r="Y22" i="15"/>
  <c r="Z22" i="15"/>
  <c r="AA22" i="15"/>
  <c r="AB22" i="15"/>
  <c r="AC22" i="15"/>
  <c r="AD22" i="15"/>
  <c r="AE22" i="15"/>
  <c r="AF22" i="15"/>
  <c r="AG22" i="15"/>
  <c r="AH22" i="15"/>
  <c r="AI22" i="15"/>
  <c r="AJ22" i="15"/>
  <c r="AK22" i="15"/>
  <c r="AL22" i="15"/>
  <c r="AM22" i="15"/>
  <c r="AN22" i="15"/>
  <c r="AO22" i="15"/>
  <c r="AP22" i="15"/>
  <c r="AQ22" i="15"/>
  <c r="AR22" i="15"/>
  <c r="AS22" i="15"/>
  <c r="AT22" i="15"/>
  <c r="AU22" i="15"/>
  <c r="A23" i="15"/>
  <c r="B23" i="15"/>
  <c r="C23" i="15"/>
  <c r="D23" i="15"/>
  <c r="E23" i="15"/>
  <c r="F23" i="15"/>
  <c r="G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T23" i="15"/>
  <c r="U23" i="15"/>
  <c r="V23" i="15"/>
  <c r="W23" i="15"/>
  <c r="X23" i="15"/>
  <c r="Y23" i="15"/>
  <c r="Z23" i="15"/>
  <c r="AA23" i="15"/>
  <c r="AB23" i="15"/>
  <c r="AC23" i="15"/>
  <c r="AD23" i="15"/>
  <c r="AE23" i="15"/>
  <c r="AF23" i="15"/>
  <c r="AG23" i="15"/>
  <c r="AH23" i="15"/>
  <c r="AI23" i="15"/>
  <c r="AJ23" i="15"/>
  <c r="AK23" i="15"/>
  <c r="AL23" i="15"/>
  <c r="AM23" i="15"/>
  <c r="AN23" i="15"/>
  <c r="AO23" i="15"/>
  <c r="AP23" i="15"/>
  <c r="AQ23" i="15"/>
  <c r="AR23" i="15"/>
  <c r="AS23" i="15"/>
  <c r="AT23" i="15"/>
  <c r="AU23" i="15"/>
  <c r="A24" i="15"/>
  <c r="B24" i="15"/>
  <c r="C24" i="15"/>
  <c r="D24" i="15"/>
  <c r="E24" i="15"/>
  <c r="F24" i="15"/>
  <c r="G24" i="15"/>
  <c r="H24" i="15"/>
  <c r="I24" i="15"/>
  <c r="J24" i="15"/>
  <c r="K24" i="15"/>
  <c r="L24" i="15"/>
  <c r="M24" i="15"/>
  <c r="N24" i="15"/>
  <c r="O24" i="15"/>
  <c r="P24" i="15"/>
  <c r="Q24" i="15"/>
  <c r="R24" i="15"/>
  <c r="S24" i="15"/>
  <c r="T24" i="15"/>
  <c r="U24" i="15"/>
  <c r="V24" i="15"/>
  <c r="W24" i="15"/>
  <c r="X24" i="15"/>
  <c r="Y24" i="15"/>
  <c r="Z24" i="15"/>
  <c r="AA24" i="15"/>
  <c r="AB24" i="15"/>
  <c r="AC24" i="15"/>
  <c r="AD24" i="15"/>
  <c r="AE24" i="15"/>
  <c r="AF24" i="15"/>
  <c r="AG24" i="15"/>
  <c r="AH24" i="15"/>
  <c r="AI24" i="15"/>
  <c r="AJ24" i="15"/>
  <c r="AK24" i="15"/>
  <c r="AL24" i="15"/>
  <c r="AM24" i="15"/>
  <c r="AN24" i="15"/>
  <c r="AO24" i="15"/>
  <c r="AP24" i="15"/>
  <c r="AQ24" i="15"/>
  <c r="AR24" i="15"/>
  <c r="AS24" i="15"/>
  <c r="AT24" i="15"/>
  <c r="AU24" i="15"/>
  <c r="A25" i="15"/>
  <c r="B25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AH25" i="15"/>
  <c r="AI25" i="15"/>
  <c r="AJ25" i="15"/>
  <c r="AK25" i="15"/>
  <c r="AL25" i="15"/>
  <c r="AM25" i="15"/>
  <c r="AN25" i="15"/>
  <c r="AO25" i="15"/>
  <c r="AP25" i="15"/>
  <c r="AQ25" i="15"/>
  <c r="AR25" i="15"/>
  <c r="AS25" i="15"/>
  <c r="AT25" i="15"/>
  <c r="AU25" i="15"/>
  <c r="A26" i="15"/>
  <c r="B26" i="15"/>
  <c r="C26" i="15"/>
  <c r="D26" i="15"/>
  <c r="E26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T26" i="15"/>
  <c r="U26" i="15"/>
  <c r="V26" i="15"/>
  <c r="W26" i="15"/>
  <c r="X26" i="15"/>
  <c r="Y26" i="15"/>
  <c r="Z26" i="15"/>
  <c r="AA26" i="15"/>
  <c r="AB26" i="15"/>
  <c r="AC26" i="15"/>
  <c r="AD26" i="15"/>
  <c r="AE26" i="15"/>
  <c r="AF26" i="15"/>
  <c r="AG26" i="15"/>
  <c r="AH26" i="15"/>
  <c r="AI26" i="15"/>
  <c r="AJ26" i="15"/>
  <c r="AK26" i="15"/>
  <c r="AL26" i="15"/>
  <c r="AM26" i="15"/>
  <c r="AN26" i="15"/>
  <c r="AO26" i="15"/>
  <c r="AP26" i="15"/>
  <c r="AQ26" i="15"/>
  <c r="AR26" i="15"/>
  <c r="AS26" i="15"/>
  <c r="AT26" i="15"/>
  <c r="AU26" i="15"/>
  <c r="A27" i="15"/>
  <c r="B27" i="15"/>
  <c r="C27" i="15"/>
  <c r="D27" i="15"/>
  <c r="E27" i="15"/>
  <c r="F27" i="15"/>
  <c r="G27" i="15"/>
  <c r="H27" i="15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AG27" i="15"/>
  <c r="AH27" i="15"/>
  <c r="AI27" i="15"/>
  <c r="AJ27" i="15"/>
  <c r="AK27" i="15"/>
  <c r="AL27" i="15"/>
  <c r="AM27" i="15"/>
  <c r="AN27" i="15"/>
  <c r="AO27" i="15"/>
  <c r="AP27" i="15"/>
  <c r="AQ27" i="15"/>
  <c r="AR27" i="15"/>
  <c r="AS27" i="15"/>
  <c r="AT27" i="15"/>
  <c r="AU27" i="15"/>
  <c r="A28" i="15"/>
  <c r="B28" i="15"/>
  <c r="C28" i="15"/>
  <c r="D28" i="15"/>
  <c r="E28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Z28" i="15"/>
  <c r="AA28" i="15"/>
  <c r="AB28" i="15"/>
  <c r="AC28" i="15"/>
  <c r="AD28" i="15"/>
  <c r="AE28" i="15"/>
  <c r="AF28" i="15"/>
  <c r="AG28" i="15"/>
  <c r="AH28" i="15"/>
  <c r="AI28" i="15"/>
  <c r="AJ28" i="15"/>
  <c r="AK28" i="15"/>
  <c r="AL28" i="15"/>
  <c r="AM28" i="15"/>
  <c r="AN28" i="15"/>
  <c r="AO28" i="15"/>
  <c r="AP28" i="15"/>
  <c r="AQ28" i="15"/>
  <c r="AR28" i="15"/>
  <c r="AS28" i="15"/>
  <c r="AT28" i="15"/>
  <c r="AU28" i="15"/>
  <c r="A29" i="15"/>
  <c r="B29" i="15"/>
  <c r="C29" i="15"/>
  <c r="D29" i="15"/>
  <c r="E29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Z29" i="15"/>
  <c r="AA29" i="15"/>
  <c r="AB29" i="15"/>
  <c r="AC29" i="15"/>
  <c r="AD29" i="15"/>
  <c r="AE29" i="15"/>
  <c r="AF29" i="15"/>
  <c r="AG29" i="15"/>
  <c r="AH29" i="15"/>
  <c r="AI29" i="15"/>
  <c r="AJ29" i="15"/>
  <c r="AK29" i="15"/>
  <c r="AL29" i="15"/>
  <c r="AM29" i="15"/>
  <c r="AN29" i="15"/>
  <c r="AO29" i="15"/>
  <c r="AP29" i="15"/>
  <c r="AQ29" i="15"/>
  <c r="AR29" i="15"/>
  <c r="AS29" i="15"/>
  <c r="AT29" i="15"/>
  <c r="AU29" i="15"/>
  <c r="A30" i="15"/>
  <c r="B30" i="15"/>
  <c r="C30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D30" i="15"/>
  <c r="AE30" i="15"/>
  <c r="AF30" i="15"/>
  <c r="AG30" i="15"/>
  <c r="AH30" i="15"/>
  <c r="AI30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31" i="15"/>
  <c r="B31" i="15"/>
  <c r="C31" i="15"/>
  <c r="D31" i="15"/>
  <c r="E31" i="15"/>
  <c r="F31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AG31" i="15"/>
  <c r="AH31" i="15"/>
  <c r="AI31" i="15"/>
  <c r="AJ31" i="15"/>
  <c r="AK31" i="15"/>
  <c r="AL31" i="15"/>
  <c r="AM31" i="15"/>
  <c r="AN31" i="15"/>
  <c r="AO31" i="15"/>
  <c r="AP31" i="15"/>
  <c r="AQ31" i="15"/>
  <c r="AR31" i="15"/>
  <c r="AS31" i="15"/>
  <c r="AT31" i="15"/>
  <c r="AU31" i="15"/>
  <c r="A32" i="15"/>
  <c r="B32" i="15"/>
  <c r="C32" i="15"/>
  <c r="D32" i="15"/>
  <c r="E32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R32" i="15"/>
  <c r="S32" i="15"/>
  <c r="T32" i="15"/>
  <c r="U32" i="15"/>
  <c r="V32" i="15"/>
  <c r="W32" i="15"/>
  <c r="X32" i="15"/>
  <c r="Y32" i="15"/>
  <c r="Z32" i="15"/>
  <c r="AA32" i="15"/>
  <c r="AB32" i="15"/>
  <c r="AC32" i="15"/>
  <c r="AD32" i="15"/>
  <c r="AE32" i="15"/>
  <c r="AF32" i="15"/>
  <c r="AG32" i="15"/>
  <c r="AH32" i="15"/>
  <c r="AI32" i="15"/>
  <c r="AJ32" i="15"/>
  <c r="AK32" i="15"/>
  <c r="AL32" i="15"/>
  <c r="AM32" i="15"/>
  <c r="AN32" i="15"/>
  <c r="AO32" i="15"/>
  <c r="AP32" i="15"/>
  <c r="AQ32" i="15"/>
  <c r="AR32" i="15"/>
  <c r="AS32" i="15"/>
  <c r="AT32" i="15"/>
  <c r="AU32" i="15"/>
  <c r="A33" i="15"/>
  <c r="B33" i="15"/>
  <c r="C33" i="15"/>
  <c r="D33" i="1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Y33" i="15"/>
  <c r="Z33" i="15"/>
  <c r="AA33" i="15"/>
  <c r="AB33" i="15"/>
  <c r="AC33" i="15"/>
  <c r="AD33" i="15"/>
  <c r="AE33" i="15"/>
  <c r="AF33" i="15"/>
  <c r="AG33" i="15"/>
  <c r="AH33" i="15"/>
  <c r="AI33" i="15"/>
  <c r="AJ33" i="15"/>
  <c r="AK33" i="15"/>
  <c r="AL33" i="15"/>
  <c r="AM33" i="15"/>
  <c r="AN33" i="15"/>
  <c r="AO33" i="15"/>
  <c r="AP33" i="15"/>
  <c r="AQ33" i="15"/>
  <c r="AR33" i="15"/>
  <c r="AS33" i="15"/>
  <c r="AT33" i="15"/>
  <c r="AU33" i="15"/>
  <c r="A34" i="15"/>
  <c r="B34" i="15"/>
  <c r="C34" i="15"/>
  <c r="D34" i="15"/>
  <c r="E34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R34" i="15"/>
  <c r="S34" i="15"/>
  <c r="T34" i="15"/>
  <c r="U34" i="15"/>
  <c r="V34" i="15"/>
  <c r="W34" i="15"/>
  <c r="X34" i="15"/>
  <c r="Y34" i="15"/>
  <c r="Z34" i="15"/>
  <c r="AA34" i="15"/>
  <c r="AB34" i="15"/>
  <c r="AC34" i="15"/>
  <c r="AD34" i="15"/>
  <c r="AE34" i="15"/>
  <c r="AF34" i="15"/>
  <c r="AG34" i="15"/>
  <c r="AH34" i="15"/>
  <c r="AI34" i="15"/>
  <c r="AJ34" i="15"/>
  <c r="AK34" i="15"/>
  <c r="AL34" i="15"/>
  <c r="AM34" i="15"/>
  <c r="AN34" i="15"/>
  <c r="AO34" i="15"/>
  <c r="AP34" i="15"/>
  <c r="AQ34" i="15"/>
  <c r="AR34" i="15"/>
  <c r="AS34" i="15"/>
  <c r="AT34" i="15"/>
  <c r="AU34" i="15"/>
  <c r="A35" i="15"/>
  <c r="B35" i="15"/>
  <c r="C35" i="15"/>
  <c r="D35" i="15"/>
  <c r="E35" i="15"/>
  <c r="F35" i="15"/>
  <c r="G35" i="15"/>
  <c r="H35" i="15"/>
  <c r="I35" i="15"/>
  <c r="J35" i="15"/>
  <c r="K35" i="15"/>
  <c r="L35" i="15"/>
  <c r="M35" i="15"/>
  <c r="N35" i="15"/>
  <c r="O35" i="15"/>
  <c r="P35" i="15"/>
  <c r="Q35" i="15"/>
  <c r="R35" i="15"/>
  <c r="S35" i="15"/>
  <c r="T35" i="15"/>
  <c r="U35" i="15"/>
  <c r="V35" i="15"/>
  <c r="W35" i="15"/>
  <c r="X35" i="15"/>
  <c r="Y35" i="15"/>
  <c r="Z35" i="15"/>
  <c r="AA35" i="15"/>
  <c r="AB35" i="15"/>
  <c r="AC35" i="15"/>
  <c r="AD35" i="15"/>
  <c r="AE35" i="15"/>
  <c r="AF35" i="15"/>
  <c r="AG35" i="15"/>
  <c r="AH35" i="15"/>
  <c r="AI35" i="15"/>
  <c r="AJ35" i="15"/>
  <c r="AK35" i="15"/>
  <c r="AL35" i="15"/>
  <c r="AM35" i="15"/>
  <c r="AN35" i="15"/>
  <c r="AO35" i="15"/>
  <c r="AP35" i="15"/>
  <c r="AQ35" i="15"/>
  <c r="AR35" i="15"/>
  <c r="AS35" i="15"/>
  <c r="AT35" i="15"/>
  <c r="AU35" i="15"/>
  <c r="A36" i="15"/>
  <c r="B36" i="15"/>
  <c r="C36" i="15"/>
  <c r="D36" i="15"/>
  <c r="E36" i="15"/>
  <c r="F36" i="15"/>
  <c r="G36" i="15"/>
  <c r="H36" i="15"/>
  <c r="I36" i="15"/>
  <c r="J36" i="15"/>
  <c r="K36" i="15"/>
  <c r="L36" i="15"/>
  <c r="M36" i="15"/>
  <c r="N36" i="15"/>
  <c r="O36" i="15"/>
  <c r="P36" i="15"/>
  <c r="Q36" i="15"/>
  <c r="R36" i="15"/>
  <c r="S36" i="15"/>
  <c r="T36" i="15"/>
  <c r="U36" i="15"/>
  <c r="V36" i="15"/>
  <c r="W36" i="15"/>
  <c r="X36" i="15"/>
  <c r="Y36" i="15"/>
  <c r="Z36" i="15"/>
  <c r="AA36" i="15"/>
  <c r="AB36" i="15"/>
  <c r="AC36" i="15"/>
  <c r="AD36" i="15"/>
  <c r="AE36" i="15"/>
  <c r="AF36" i="15"/>
  <c r="AG36" i="15"/>
  <c r="AH36" i="15"/>
  <c r="AI36" i="15"/>
  <c r="AJ36" i="15"/>
  <c r="AK36" i="15"/>
  <c r="AL36" i="15"/>
  <c r="AM36" i="15"/>
  <c r="AN36" i="15"/>
  <c r="AO36" i="15"/>
  <c r="AP36" i="15"/>
  <c r="AQ36" i="15"/>
  <c r="AR36" i="15"/>
  <c r="AS36" i="15"/>
  <c r="AT36" i="15"/>
  <c r="AU36" i="15"/>
  <c r="A37" i="15"/>
  <c r="B37" i="15"/>
  <c r="C37" i="15"/>
  <c r="D37" i="15"/>
  <c r="E37" i="15"/>
  <c r="F37" i="15"/>
  <c r="G37" i="15"/>
  <c r="H37" i="15"/>
  <c r="I37" i="15"/>
  <c r="J37" i="15"/>
  <c r="K37" i="15"/>
  <c r="L37" i="15"/>
  <c r="M37" i="15"/>
  <c r="N37" i="15"/>
  <c r="O37" i="15"/>
  <c r="P37" i="15"/>
  <c r="Q37" i="15"/>
  <c r="R37" i="15"/>
  <c r="S37" i="15"/>
  <c r="T37" i="15"/>
  <c r="U37" i="15"/>
  <c r="V37" i="15"/>
  <c r="W37" i="15"/>
  <c r="X37" i="15"/>
  <c r="Y37" i="15"/>
  <c r="Z37" i="15"/>
  <c r="AA37" i="15"/>
  <c r="AB37" i="15"/>
  <c r="AC37" i="15"/>
  <c r="AD37" i="15"/>
  <c r="AE37" i="15"/>
  <c r="AF37" i="15"/>
  <c r="AG37" i="15"/>
  <c r="AH37" i="15"/>
  <c r="AI37" i="15"/>
  <c r="AJ37" i="15"/>
  <c r="AK37" i="15"/>
  <c r="AL37" i="15"/>
  <c r="AM37" i="15"/>
  <c r="AN37" i="15"/>
  <c r="AO37" i="15"/>
  <c r="AP37" i="15"/>
  <c r="AQ37" i="15"/>
  <c r="AR37" i="15"/>
  <c r="AS37" i="15"/>
  <c r="AT37" i="15"/>
  <c r="AU37" i="15"/>
  <c r="A38" i="15"/>
  <c r="B38" i="15"/>
  <c r="C38" i="15"/>
  <c r="D38" i="15"/>
  <c r="E38" i="15"/>
  <c r="F38" i="15"/>
  <c r="G38" i="15"/>
  <c r="H38" i="15"/>
  <c r="I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8" i="15"/>
  <c r="AJ38" i="15"/>
  <c r="AK38" i="15"/>
  <c r="AL38" i="15"/>
  <c r="AM38" i="15"/>
  <c r="AN38" i="15"/>
  <c r="AO38" i="15"/>
  <c r="AP38" i="15"/>
  <c r="AQ38" i="15"/>
  <c r="AR38" i="15"/>
  <c r="AS38" i="15"/>
  <c r="AT38" i="15"/>
  <c r="AU38" i="15"/>
  <c r="A39" i="15"/>
  <c r="B39" i="15"/>
  <c r="C39" i="15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AI39" i="15"/>
  <c r="AJ39" i="15"/>
  <c r="AK39" i="15"/>
  <c r="AL39" i="15"/>
  <c r="AM39" i="15"/>
  <c r="AN39" i="15"/>
  <c r="AO39" i="15"/>
  <c r="AP39" i="15"/>
  <c r="AQ39" i="15"/>
  <c r="AR39" i="15"/>
  <c r="AS39" i="15"/>
  <c r="AT39" i="15"/>
  <c r="AU39" i="15"/>
  <c r="A40" i="15"/>
  <c r="B40" i="15"/>
  <c r="C40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41" i="15"/>
  <c r="B41" i="15"/>
  <c r="C41" i="15"/>
  <c r="D41" i="15"/>
  <c r="E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R41" i="15"/>
  <c r="S41" i="15"/>
  <c r="T41" i="15"/>
  <c r="U41" i="15"/>
  <c r="V41" i="15"/>
  <c r="W41" i="15"/>
  <c r="X41" i="15"/>
  <c r="Y41" i="15"/>
  <c r="Z41" i="15"/>
  <c r="AA41" i="15"/>
  <c r="AB41" i="15"/>
  <c r="AC41" i="15"/>
  <c r="AD41" i="15"/>
  <c r="AE41" i="15"/>
  <c r="AF41" i="15"/>
  <c r="AG41" i="15"/>
  <c r="AH41" i="15"/>
  <c r="AI41" i="15"/>
  <c r="AJ41" i="15"/>
  <c r="AK41" i="15"/>
  <c r="AL41" i="15"/>
  <c r="AM41" i="15"/>
  <c r="AN41" i="15"/>
  <c r="AO41" i="15"/>
  <c r="AP41" i="15"/>
  <c r="AQ41" i="15"/>
  <c r="AR41" i="15"/>
  <c r="AS41" i="15"/>
  <c r="AT41" i="15"/>
  <c r="AU41" i="15"/>
  <c r="A42" i="15"/>
  <c r="B42" i="15"/>
  <c r="C42" i="15"/>
  <c r="D42" i="15"/>
  <c r="E42" i="15"/>
  <c r="F42" i="15"/>
  <c r="G42" i="15"/>
  <c r="H42" i="15"/>
  <c r="I42" i="15"/>
  <c r="J42" i="15"/>
  <c r="K42" i="15"/>
  <c r="L42" i="15"/>
  <c r="M42" i="15"/>
  <c r="N42" i="15"/>
  <c r="O42" i="15"/>
  <c r="P42" i="15"/>
  <c r="Q42" i="15"/>
  <c r="R42" i="15"/>
  <c r="S42" i="15"/>
  <c r="T42" i="15"/>
  <c r="U42" i="15"/>
  <c r="V42" i="15"/>
  <c r="W42" i="15"/>
  <c r="X42" i="15"/>
  <c r="Y42" i="15"/>
  <c r="Z42" i="15"/>
  <c r="AA42" i="15"/>
  <c r="AB42" i="15"/>
  <c r="AC42" i="15"/>
  <c r="AD42" i="15"/>
  <c r="AE42" i="15"/>
  <c r="AF42" i="15"/>
  <c r="AG42" i="15"/>
  <c r="AH42" i="15"/>
  <c r="AI42" i="15"/>
  <c r="AJ42" i="15"/>
  <c r="AK42" i="15"/>
  <c r="AL42" i="15"/>
  <c r="AM42" i="15"/>
  <c r="AN42" i="15"/>
  <c r="AO42" i="15"/>
  <c r="AP42" i="15"/>
  <c r="AQ42" i="15"/>
  <c r="AR42" i="15"/>
  <c r="AS42" i="15"/>
  <c r="AT42" i="15"/>
  <c r="AU42" i="15"/>
  <c r="A43" i="15"/>
  <c r="B43" i="15"/>
  <c r="C43" i="15"/>
  <c r="D43" i="15"/>
  <c r="E43" i="15"/>
  <c r="F43" i="15"/>
  <c r="G43" i="15"/>
  <c r="H43" i="15"/>
  <c r="I43" i="15"/>
  <c r="J43" i="15"/>
  <c r="K43" i="15"/>
  <c r="L43" i="15"/>
  <c r="M43" i="15"/>
  <c r="N43" i="15"/>
  <c r="O43" i="15"/>
  <c r="P43" i="15"/>
  <c r="Q43" i="15"/>
  <c r="R43" i="15"/>
  <c r="S43" i="15"/>
  <c r="T43" i="15"/>
  <c r="U43" i="15"/>
  <c r="V43" i="15"/>
  <c r="W43" i="15"/>
  <c r="X43" i="15"/>
  <c r="Y43" i="15"/>
  <c r="Z43" i="15"/>
  <c r="AA43" i="15"/>
  <c r="AB43" i="15"/>
  <c r="AC43" i="15"/>
  <c r="AD43" i="15"/>
  <c r="AE43" i="15"/>
  <c r="AF43" i="15"/>
  <c r="AG43" i="15"/>
  <c r="AH43" i="15"/>
  <c r="AI43" i="15"/>
  <c r="AJ43" i="15"/>
  <c r="AK43" i="15"/>
  <c r="AL43" i="15"/>
  <c r="AM43" i="15"/>
  <c r="AN43" i="15"/>
  <c r="AO43" i="15"/>
  <c r="AP43" i="15"/>
  <c r="AQ43" i="15"/>
  <c r="AR43" i="15"/>
  <c r="AS43" i="15"/>
  <c r="AT43" i="15"/>
  <c r="AU43" i="15"/>
  <c r="A44" i="15"/>
  <c r="B44" i="15"/>
  <c r="C44" i="15"/>
  <c r="D44" i="15"/>
  <c r="E44" i="15"/>
  <c r="F44" i="15"/>
  <c r="G44" i="15"/>
  <c r="H44" i="15"/>
  <c r="I44" i="15"/>
  <c r="J44" i="15"/>
  <c r="K44" i="15"/>
  <c r="L44" i="15"/>
  <c r="M44" i="15"/>
  <c r="N44" i="15"/>
  <c r="O44" i="15"/>
  <c r="P44" i="15"/>
  <c r="Q44" i="15"/>
  <c r="R44" i="15"/>
  <c r="S44" i="15"/>
  <c r="T44" i="15"/>
  <c r="U44" i="15"/>
  <c r="V44" i="15"/>
  <c r="W44" i="15"/>
  <c r="X44" i="15"/>
  <c r="Y44" i="15"/>
  <c r="Z44" i="15"/>
  <c r="AA44" i="15"/>
  <c r="AB44" i="15"/>
  <c r="AC44" i="15"/>
  <c r="AD44" i="15"/>
  <c r="AE44" i="15"/>
  <c r="AF44" i="15"/>
  <c r="AG44" i="15"/>
  <c r="AH44" i="15"/>
  <c r="AI44" i="15"/>
  <c r="AJ44" i="15"/>
  <c r="AK44" i="15"/>
  <c r="AL44" i="15"/>
  <c r="AM44" i="15"/>
  <c r="AN44" i="15"/>
  <c r="AO44" i="15"/>
  <c r="AP44" i="15"/>
  <c r="AQ44" i="15"/>
  <c r="AR44" i="15"/>
  <c r="AS44" i="15"/>
  <c r="AT44" i="15"/>
  <c r="AU44" i="15"/>
  <c r="A45" i="15"/>
  <c r="B45" i="15"/>
  <c r="C45" i="15"/>
  <c r="D45" i="15"/>
  <c r="E45" i="15"/>
  <c r="F45" i="15"/>
  <c r="G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T45" i="15"/>
  <c r="U45" i="15"/>
  <c r="V45" i="15"/>
  <c r="W45" i="15"/>
  <c r="X45" i="15"/>
  <c r="Y45" i="15"/>
  <c r="Z45" i="15"/>
  <c r="AA45" i="15"/>
  <c r="AB45" i="15"/>
  <c r="AC45" i="15"/>
  <c r="AD45" i="15"/>
  <c r="AE45" i="15"/>
  <c r="AF45" i="15"/>
  <c r="AG45" i="15"/>
  <c r="AH45" i="15"/>
  <c r="AI45" i="15"/>
  <c r="AJ45" i="15"/>
  <c r="AK45" i="15"/>
  <c r="AL45" i="15"/>
  <c r="AM45" i="15"/>
  <c r="AN45" i="15"/>
  <c r="AO45" i="15"/>
  <c r="AP45" i="15"/>
  <c r="AQ45" i="15"/>
  <c r="AR45" i="15"/>
  <c r="AS45" i="15"/>
  <c r="AT45" i="15"/>
  <c r="AU45" i="15"/>
  <c r="A46" i="15"/>
  <c r="B46" i="15"/>
  <c r="C46" i="15"/>
  <c r="D46" i="15"/>
  <c r="E46" i="15"/>
  <c r="F46" i="15"/>
  <c r="G46" i="15"/>
  <c r="H46" i="15"/>
  <c r="I46" i="15"/>
  <c r="J46" i="15"/>
  <c r="K46" i="15"/>
  <c r="L46" i="15"/>
  <c r="M46" i="15"/>
  <c r="N46" i="15"/>
  <c r="O46" i="15"/>
  <c r="P46" i="15"/>
  <c r="Q46" i="15"/>
  <c r="R46" i="15"/>
  <c r="S46" i="15"/>
  <c r="T46" i="15"/>
  <c r="U46" i="15"/>
  <c r="V46" i="15"/>
  <c r="W46" i="15"/>
  <c r="X46" i="15"/>
  <c r="Y46" i="15"/>
  <c r="Z46" i="15"/>
  <c r="AA46" i="15"/>
  <c r="AB46" i="15"/>
  <c r="AC46" i="15"/>
  <c r="AD46" i="15"/>
  <c r="AE46" i="15"/>
  <c r="AF46" i="15"/>
  <c r="AG46" i="15"/>
  <c r="AH46" i="15"/>
  <c r="AI46" i="15"/>
  <c r="AJ46" i="15"/>
  <c r="AK46" i="15"/>
  <c r="AL46" i="15"/>
  <c r="AM46" i="15"/>
  <c r="AN46" i="15"/>
  <c r="AO46" i="15"/>
  <c r="AP46" i="15"/>
  <c r="AQ46" i="15"/>
  <c r="AR46" i="15"/>
  <c r="AS46" i="15"/>
  <c r="AT46" i="15"/>
  <c r="AU46" i="15"/>
  <c r="A47" i="15"/>
  <c r="B47" i="15"/>
  <c r="C47" i="15"/>
  <c r="D47" i="15"/>
  <c r="E47" i="15"/>
  <c r="F47" i="15"/>
  <c r="G47" i="15"/>
  <c r="H47" i="15"/>
  <c r="I47" i="15"/>
  <c r="J47" i="15"/>
  <c r="K47" i="15"/>
  <c r="L47" i="15"/>
  <c r="M47" i="15"/>
  <c r="N47" i="15"/>
  <c r="O47" i="15"/>
  <c r="P47" i="15"/>
  <c r="Q47" i="15"/>
  <c r="R47" i="15"/>
  <c r="S47" i="15"/>
  <c r="T47" i="15"/>
  <c r="U47" i="15"/>
  <c r="V47" i="15"/>
  <c r="W47" i="15"/>
  <c r="X47" i="15"/>
  <c r="Y47" i="15"/>
  <c r="Z47" i="15"/>
  <c r="AA47" i="15"/>
  <c r="AB47" i="15"/>
  <c r="AC47" i="15"/>
  <c r="AD47" i="15"/>
  <c r="AE47" i="15"/>
  <c r="AF47" i="15"/>
  <c r="AG47" i="15"/>
  <c r="AH47" i="15"/>
  <c r="AI47" i="15"/>
  <c r="AJ47" i="15"/>
  <c r="AK47" i="15"/>
  <c r="AL47" i="15"/>
  <c r="AM47" i="15"/>
  <c r="AN47" i="15"/>
  <c r="AO47" i="15"/>
  <c r="AP47" i="15"/>
  <c r="AQ47" i="15"/>
  <c r="AR47" i="15"/>
  <c r="AS47" i="15"/>
  <c r="AT47" i="15"/>
  <c r="AU47" i="15"/>
  <c r="A48" i="15"/>
  <c r="B48" i="15"/>
  <c r="C48" i="15"/>
  <c r="D48" i="15"/>
  <c r="E48" i="15"/>
  <c r="F48" i="15"/>
  <c r="G48" i="15"/>
  <c r="H48" i="15"/>
  <c r="I48" i="15"/>
  <c r="J48" i="15"/>
  <c r="K48" i="15"/>
  <c r="L48" i="15"/>
  <c r="M48" i="15"/>
  <c r="N48" i="15"/>
  <c r="O48" i="15"/>
  <c r="P48" i="15"/>
  <c r="Q48" i="15"/>
  <c r="R48" i="15"/>
  <c r="S48" i="15"/>
  <c r="T48" i="15"/>
  <c r="U48" i="15"/>
  <c r="V48" i="15"/>
  <c r="W48" i="15"/>
  <c r="X48" i="15"/>
  <c r="Y48" i="15"/>
  <c r="Z48" i="15"/>
  <c r="AA48" i="15"/>
  <c r="AB48" i="15"/>
  <c r="AC48" i="15"/>
  <c r="AD48" i="15"/>
  <c r="AE48" i="15"/>
  <c r="AF48" i="15"/>
  <c r="AG48" i="15"/>
  <c r="AH48" i="15"/>
  <c r="AI48" i="15"/>
  <c r="AJ48" i="15"/>
  <c r="AK48" i="15"/>
  <c r="AL48" i="15"/>
  <c r="AM48" i="15"/>
  <c r="AN48" i="15"/>
  <c r="AO48" i="15"/>
  <c r="AP48" i="15"/>
  <c r="AQ48" i="15"/>
  <c r="AR48" i="15"/>
  <c r="AS48" i="15"/>
  <c r="AT48" i="15"/>
  <c r="AU48" i="15"/>
  <c r="A49" i="15"/>
  <c r="B49" i="15"/>
  <c r="C49" i="15"/>
  <c r="D49" i="15"/>
  <c r="E49" i="15"/>
  <c r="F49" i="15"/>
  <c r="G49" i="15"/>
  <c r="H49" i="15"/>
  <c r="I49" i="15"/>
  <c r="J49" i="15"/>
  <c r="K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X49" i="15"/>
  <c r="Y49" i="15"/>
  <c r="Z49" i="15"/>
  <c r="AA49" i="15"/>
  <c r="AB49" i="15"/>
  <c r="AC49" i="15"/>
  <c r="AD49" i="15"/>
  <c r="AE49" i="15"/>
  <c r="AF49" i="15"/>
  <c r="AG49" i="15"/>
  <c r="AH49" i="15"/>
  <c r="AI49" i="15"/>
  <c r="AJ49" i="15"/>
  <c r="AK49" i="15"/>
  <c r="AL49" i="15"/>
  <c r="AM49" i="15"/>
  <c r="AN49" i="15"/>
  <c r="AO49" i="15"/>
  <c r="AP49" i="15"/>
  <c r="AQ49" i="15"/>
  <c r="AR49" i="15"/>
  <c r="AS49" i="15"/>
  <c r="AT49" i="15"/>
  <c r="AU49" i="15"/>
  <c r="A50" i="15"/>
  <c r="B50" i="15"/>
  <c r="C50" i="15"/>
  <c r="D50" i="15"/>
  <c r="E50" i="15"/>
  <c r="F50" i="15"/>
  <c r="G50" i="15"/>
  <c r="H50" i="15"/>
  <c r="I50" i="15"/>
  <c r="J50" i="15"/>
  <c r="K50" i="15"/>
  <c r="L50" i="15"/>
  <c r="M50" i="15"/>
  <c r="N50" i="15"/>
  <c r="O50" i="15"/>
  <c r="P50" i="15"/>
  <c r="Q50" i="15"/>
  <c r="R50" i="15"/>
  <c r="S50" i="15"/>
  <c r="T50" i="15"/>
  <c r="U50" i="15"/>
  <c r="V50" i="15"/>
  <c r="W50" i="15"/>
  <c r="X50" i="15"/>
  <c r="Y50" i="15"/>
  <c r="Z50" i="15"/>
  <c r="AA50" i="15"/>
  <c r="AB50" i="15"/>
  <c r="AC50" i="15"/>
  <c r="AD50" i="15"/>
  <c r="AE50" i="15"/>
  <c r="AF50" i="15"/>
  <c r="AG50" i="15"/>
  <c r="AH50" i="15"/>
  <c r="AI50" i="15"/>
  <c r="AJ50" i="15"/>
  <c r="AK50" i="15"/>
  <c r="AL50" i="15"/>
  <c r="AM50" i="15"/>
  <c r="AN50" i="15"/>
  <c r="AO50" i="15"/>
  <c r="AP50" i="15"/>
  <c r="AQ50" i="15"/>
  <c r="AR50" i="15"/>
  <c r="AS50" i="15"/>
  <c r="AT50" i="15"/>
  <c r="AU50" i="15"/>
  <c r="A51" i="15"/>
  <c r="B51" i="15"/>
  <c r="C51" i="15"/>
  <c r="D51" i="15"/>
  <c r="E51" i="15"/>
  <c r="F51" i="15"/>
  <c r="G51" i="15"/>
  <c r="H51" i="15"/>
  <c r="I51" i="15"/>
  <c r="J51" i="15"/>
  <c r="K51" i="15"/>
  <c r="L51" i="15"/>
  <c r="M51" i="15"/>
  <c r="N51" i="15"/>
  <c r="O51" i="15"/>
  <c r="P51" i="15"/>
  <c r="Q51" i="15"/>
  <c r="R51" i="15"/>
  <c r="S51" i="15"/>
  <c r="T51" i="15"/>
  <c r="U51" i="15"/>
  <c r="V51" i="15"/>
  <c r="W51" i="15"/>
  <c r="X51" i="15"/>
  <c r="Y51" i="15"/>
  <c r="Z51" i="15"/>
  <c r="AA51" i="15"/>
  <c r="AB51" i="15"/>
  <c r="AC51" i="15"/>
  <c r="AD51" i="15"/>
  <c r="AE51" i="15"/>
  <c r="AF51" i="15"/>
  <c r="AG51" i="15"/>
  <c r="AH51" i="15"/>
  <c r="AI51" i="15"/>
  <c r="AJ51" i="15"/>
  <c r="AK51" i="15"/>
  <c r="AL51" i="15"/>
  <c r="AM51" i="15"/>
  <c r="AN51" i="15"/>
  <c r="AO51" i="15"/>
  <c r="AP51" i="15"/>
  <c r="AQ51" i="15"/>
  <c r="AR51" i="15"/>
  <c r="AS51" i="15"/>
  <c r="AT51" i="15"/>
  <c r="AU51" i="15"/>
  <c r="A52" i="15"/>
  <c r="B52" i="15"/>
  <c r="C52" i="15"/>
  <c r="D52" i="15"/>
  <c r="E52" i="15"/>
  <c r="F52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S52" i="15"/>
  <c r="T52" i="15"/>
  <c r="U52" i="15"/>
  <c r="V52" i="15"/>
  <c r="W52" i="15"/>
  <c r="X52" i="15"/>
  <c r="Y52" i="15"/>
  <c r="Z52" i="15"/>
  <c r="AA52" i="15"/>
  <c r="AB52" i="15"/>
  <c r="AC52" i="15"/>
  <c r="AD52" i="15"/>
  <c r="AE52" i="15"/>
  <c r="AF52" i="15"/>
  <c r="AG52" i="15"/>
  <c r="AH52" i="15"/>
  <c r="AI52" i="15"/>
  <c r="AJ52" i="15"/>
  <c r="AK52" i="15"/>
  <c r="AL52" i="15"/>
  <c r="AM52" i="15"/>
  <c r="AN52" i="15"/>
  <c r="AO52" i="15"/>
  <c r="AP52" i="15"/>
  <c r="AQ52" i="15"/>
  <c r="AR52" i="15"/>
  <c r="AS52" i="15"/>
  <c r="AT52" i="15"/>
  <c r="AU52" i="15"/>
  <c r="A53" i="15"/>
  <c r="B53" i="15"/>
  <c r="C53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T53" i="15"/>
  <c r="U53" i="15"/>
  <c r="V53" i="15"/>
  <c r="W53" i="15"/>
  <c r="X53" i="15"/>
  <c r="Y53" i="15"/>
  <c r="Z53" i="15"/>
  <c r="AA53" i="15"/>
  <c r="AB53" i="15"/>
  <c r="AC53" i="15"/>
  <c r="AD53" i="15"/>
  <c r="AE53" i="15"/>
  <c r="AF53" i="15"/>
  <c r="AG53" i="15"/>
  <c r="AH53" i="15"/>
  <c r="AI53" i="15"/>
  <c r="AJ53" i="15"/>
  <c r="AK53" i="15"/>
  <c r="AL53" i="15"/>
  <c r="AM53" i="15"/>
  <c r="AN53" i="15"/>
  <c r="AO53" i="15"/>
  <c r="AP53" i="15"/>
  <c r="AQ53" i="15"/>
  <c r="AR53" i="15"/>
  <c r="AS53" i="15"/>
  <c r="AT53" i="15"/>
  <c r="AU53" i="15"/>
  <c r="A54" i="15"/>
  <c r="B54" i="15"/>
  <c r="C54" i="15"/>
  <c r="D54" i="15"/>
  <c r="E54" i="15"/>
  <c r="F54" i="15"/>
  <c r="G54" i="15"/>
  <c r="H54" i="15"/>
  <c r="I54" i="15"/>
  <c r="J54" i="15"/>
  <c r="K54" i="15"/>
  <c r="L54" i="15"/>
  <c r="M54" i="15"/>
  <c r="N54" i="15"/>
  <c r="O54" i="15"/>
  <c r="P54" i="15"/>
  <c r="Q54" i="15"/>
  <c r="R54" i="15"/>
  <c r="S54" i="15"/>
  <c r="T54" i="15"/>
  <c r="U54" i="15"/>
  <c r="V54" i="15"/>
  <c r="W54" i="15"/>
  <c r="X54" i="15"/>
  <c r="Y54" i="15"/>
  <c r="Z54" i="15"/>
  <c r="AA54" i="15"/>
  <c r="AB54" i="15"/>
  <c r="AC54" i="15"/>
  <c r="AD54" i="15"/>
  <c r="AE54" i="15"/>
  <c r="AF54" i="15"/>
  <c r="AG54" i="15"/>
  <c r="AH54" i="15"/>
  <c r="AI54" i="15"/>
  <c r="AJ54" i="15"/>
  <c r="AK54" i="15"/>
  <c r="AL54" i="15"/>
  <c r="AM54" i="15"/>
  <c r="AN54" i="15"/>
  <c r="AO54" i="15"/>
  <c r="AP54" i="15"/>
  <c r="AQ54" i="15"/>
  <c r="AR54" i="15"/>
  <c r="AS54" i="15"/>
  <c r="AT54" i="15"/>
  <c r="AU54" i="15"/>
  <c r="A55" i="15"/>
  <c r="B55" i="15"/>
  <c r="C55" i="15"/>
  <c r="D55" i="15"/>
  <c r="E55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T55" i="15"/>
  <c r="U55" i="15"/>
  <c r="V55" i="15"/>
  <c r="W55" i="15"/>
  <c r="X55" i="15"/>
  <c r="Y55" i="15"/>
  <c r="Z55" i="15"/>
  <c r="AA55" i="15"/>
  <c r="AB55" i="15"/>
  <c r="AC55" i="15"/>
  <c r="AD55" i="15"/>
  <c r="AE55" i="15"/>
  <c r="AF55" i="15"/>
  <c r="AG55" i="15"/>
  <c r="AH55" i="15"/>
  <c r="AI55" i="15"/>
  <c r="AJ55" i="15"/>
  <c r="AK55" i="15"/>
  <c r="AL55" i="15"/>
  <c r="AM55" i="15"/>
  <c r="AN55" i="15"/>
  <c r="AO55" i="15"/>
  <c r="AP55" i="15"/>
  <c r="AQ55" i="15"/>
  <c r="AR55" i="15"/>
  <c r="AS55" i="15"/>
  <c r="AT55" i="15"/>
  <c r="AU55" i="15"/>
  <c r="A56" i="15"/>
  <c r="B56" i="15"/>
  <c r="C56" i="15"/>
  <c r="D56" i="15"/>
  <c r="E56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R56" i="15"/>
  <c r="S56" i="15"/>
  <c r="T56" i="15"/>
  <c r="U56" i="15"/>
  <c r="V56" i="15"/>
  <c r="W56" i="15"/>
  <c r="X56" i="15"/>
  <c r="Y56" i="15"/>
  <c r="Z56" i="15"/>
  <c r="AA56" i="15"/>
  <c r="AB56" i="15"/>
  <c r="AC56" i="15"/>
  <c r="AD56" i="15"/>
  <c r="AE56" i="15"/>
  <c r="AF56" i="15"/>
  <c r="AG56" i="15"/>
  <c r="AH56" i="15"/>
  <c r="AI56" i="15"/>
  <c r="AJ56" i="15"/>
  <c r="AK56" i="15"/>
  <c r="AL56" i="15"/>
  <c r="AM56" i="15"/>
  <c r="AN56" i="15"/>
  <c r="AO56" i="15"/>
  <c r="AP56" i="15"/>
  <c r="AQ56" i="15"/>
  <c r="AR56" i="15"/>
  <c r="AS56" i="15"/>
  <c r="AT56" i="15"/>
  <c r="AU56" i="15"/>
  <c r="A57" i="15"/>
  <c r="B57" i="15"/>
  <c r="C57" i="15"/>
  <c r="D57" i="15"/>
  <c r="E57" i="15"/>
  <c r="F57" i="15"/>
  <c r="G57" i="15"/>
  <c r="H57" i="15"/>
  <c r="I57" i="15"/>
  <c r="J57" i="15"/>
  <c r="K57" i="15"/>
  <c r="L57" i="15"/>
  <c r="M57" i="15"/>
  <c r="N57" i="15"/>
  <c r="O57" i="15"/>
  <c r="P57" i="15"/>
  <c r="Q57" i="15"/>
  <c r="R57" i="15"/>
  <c r="S57" i="15"/>
  <c r="T57" i="15"/>
  <c r="U57" i="15"/>
  <c r="V57" i="15"/>
  <c r="W57" i="15"/>
  <c r="X57" i="15"/>
  <c r="Y57" i="15"/>
  <c r="Z57" i="15"/>
  <c r="AA57" i="15"/>
  <c r="AB57" i="15"/>
  <c r="AC57" i="15"/>
  <c r="AD57" i="15"/>
  <c r="AE57" i="15"/>
  <c r="AF57" i="15"/>
  <c r="AG57" i="15"/>
  <c r="AH57" i="15"/>
  <c r="AI57" i="15"/>
  <c r="AJ57" i="15"/>
  <c r="AK57" i="15"/>
  <c r="AL57" i="15"/>
  <c r="AM57" i="15"/>
  <c r="AN57" i="15"/>
  <c r="AO57" i="15"/>
  <c r="AP57" i="15"/>
  <c r="AQ57" i="15"/>
  <c r="AR57" i="15"/>
  <c r="AS57" i="15"/>
  <c r="AT57" i="15"/>
  <c r="AU57" i="15"/>
  <c r="A58" i="15"/>
  <c r="B58" i="15"/>
  <c r="C58" i="15"/>
  <c r="D58" i="15"/>
  <c r="E58" i="15"/>
  <c r="F58" i="15"/>
  <c r="G58" i="15"/>
  <c r="H58" i="15"/>
  <c r="I58" i="15"/>
  <c r="J58" i="15"/>
  <c r="K58" i="15"/>
  <c r="L58" i="15"/>
  <c r="M58" i="15"/>
  <c r="N58" i="15"/>
  <c r="O58" i="15"/>
  <c r="P58" i="15"/>
  <c r="Q58" i="15"/>
  <c r="R58" i="15"/>
  <c r="S58" i="15"/>
  <c r="T58" i="15"/>
  <c r="U58" i="15"/>
  <c r="V58" i="15"/>
  <c r="W58" i="15"/>
  <c r="X58" i="15"/>
  <c r="Y58" i="15"/>
  <c r="Z58" i="15"/>
  <c r="AA58" i="15"/>
  <c r="AB58" i="15"/>
  <c r="AC58" i="15"/>
  <c r="AD58" i="15"/>
  <c r="AE58" i="15"/>
  <c r="AF58" i="15"/>
  <c r="AG58" i="15"/>
  <c r="AH58" i="15"/>
  <c r="AI58" i="15"/>
  <c r="AJ58" i="15"/>
  <c r="AK58" i="15"/>
  <c r="AL58" i="15"/>
  <c r="AM58" i="15"/>
  <c r="AN58" i="15"/>
  <c r="AO58" i="15"/>
  <c r="AP58" i="15"/>
  <c r="AQ58" i="15"/>
  <c r="AR58" i="15"/>
  <c r="AS58" i="15"/>
  <c r="AT58" i="15"/>
  <c r="AU58" i="15"/>
  <c r="A6" i="15"/>
</calcChain>
</file>

<file path=xl/sharedStrings.xml><?xml version="1.0" encoding="utf-8"?>
<sst xmlns="http://schemas.openxmlformats.org/spreadsheetml/2006/main" count="5468" uniqueCount="2136">
  <si>
    <t>MUNICIPALITY</t>
  </si>
  <si>
    <t>VISIT DATA</t>
  </si>
  <si>
    <t>RESTAURANT LINK</t>
  </si>
  <si>
    <t>WIKIPEDIA</t>
  </si>
  <si>
    <t>INSTAGRAM</t>
  </si>
  <si>
    <t>TIKTOK</t>
  </si>
  <si>
    <t>YOUTUBE</t>
  </si>
  <si>
    <t>THREADS</t>
  </si>
  <si>
    <t>BLUESKY</t>
  </si>
  <si>
    <t>FACEBOOK</t>
  </si>
  <si>
    <t>EXTRA / OVERFLOW LINKS</t>
  </si>
  <si>
    <t>name</t>
  </si>
  <si>
    <t>county</t>
  </si>
  <si>
    <t>geoid</t>
  </si>
  <si>
    <t>townType</t>
  </si>
  <si>
    <t>status</t>
  </si>
  <si>
    <t>visitNumber</t>
  </si>
  <si>
    <t>restaurantName</t>
  </si>
  <si>
    <t>dateVisited</t>
  </si>
  <si>
    <t>restaurant_label</t>
  </si>
  <si>
    <t>restaurant_url</t>
  </si>
  <si>
    <t>wikipedia_url</t>
  </si>
  <si>
    <t>instagram1_label</t>
  </si>
  <si>
    <t>instagram1_url</t>
  </si>
  <si>
    <t>instagram2_label</t>
  </si>
  <si>
    <t>instagram2_url</t>
  </si>
  <si>
    <t>tiktok1_label</t>
  </si>
  <si>
    <t>tiktok1_url</t>
  </si>
  <si>
    <t>tiktok2_label</t>
  </si>
  <si>
    <t>tiktok2_url</t>
  </si>
  <si>
    <t>youtube1_label</t>
  </si>
  <si>
    <t>youtube1_url</t>
  </si>
  <si>
    <t>youtube2_label</t>
  </si>
  <si>
    <t>youtube2_url</t>
  </si>
  <si>
    <t>threads1_label</t>
  </si>
  <si>
    <t>threads1_url</t>
  </si>
  <si>
    <t>threads2_label</t>
  </si>
  <si>
    <t>threads2_url</t>
  </si>
  <si>
    <t>bluesky1_label</t>
  </si>
  <si>
    <t>bluesky1_url</t>
  </si>
  <si>
    <t>bluesky2_label</t>
  </si>
  <si>
    <t>bluesky2_url</t>
  </si>
  <si>
    <t>facebook1_label</t>
  </si>
  <si>
    <t>facebook1_url</t>
  </si>
  <si>
    <t>facebook2_label</t>
  </si>
  <si>
    <t>facebook2_url</t>
  </si>
  <si>
    <t>extra1_category</t>
  </si>
  <si>
    <t>extra1_platform</t>
  </si>
  <si>
    <t>extra1_label</t>
  </si>
  <si>
    <t>extra1_url</t>
  </si>
  <si>
    <t>extra2_category</t>
  </si>
  <si>
    <t>extra2_platform</t>
  </si>
  <si>
    <t>extra2_label</t>
  </si>
  <si>
    <t>extra2_url</t>
  </si>
  <si>
    <t>extra3_category</t>
  </si>
  <si>
    <t>extra3_platform</t>
  </si>
  <si>
    <t>extra3_label</t>
  </si>
  <si>
    <t>extra3_url</t>
  </si>
  <si>
    <t>Aberdeen</t>
  </si>
  <si>
    <t>Monmouth</t>
  </si>
  <si>
    <t>3402500070</t>
  </si>
  <si>
    <t>township</t>
  </si>
  <si>
    <t>pre-challenge</t>
  </si>
  <si>
    <t>Alternate Ending</t>
  </si>
  <si>
    <t>Absecon</t>
  </si>
  <si>
    <t>Atlantic</t>
  </si>
  <si>
    <t>3400100100</t>
  </si>
  <si>
    <t>city</t>
  </si>
  <si>
    <t>unvisited</t>
  </si>
  <si>
    <t>Alexandria</t>
  </si>
  <si>
    <t>Hunterdon</t>
  </si>
  <si>
    <t>3401900550</t>
  </si>
  <si>
    <t>queued</t>
  </si>
  <si>
    <t>The Ciderhouse At Ironbound Farm</t>
  </si>
  <si>
    <t>Allamuchy</t>
  </si>
  <si>
    <t>Warren</t>
  </si>
  <si>
    <t>3404100670</t>
  </si>
  <si>
    <t>Allendale</t>
  </si>
  <si>
    <t>Bergen</t>
  </si>
  <si>
    <t>3400300700</t>
  </si>
  <si>
    <t>borough</t>
  </si>
  <si>
    <t>Allenhurst</t>
  </si>
  <si>
    <t>3402500730</t>
  </si>
  <si>
    <t>visited</t>
  </si>
  <si>
    <t>Mister C's</t>
  </si>
  <si>
    <t>NJ Town #91: Allenhurst</t>
  </si>
  <si>
    <t>https://www.instagram.com/p/DDk5FqqxJAT/</t>
  </si>
  <si>
    <t>Town #91</t>
  </si>
  <si>
    <t>https://www.instagram.com/p/DDk5FqqxJAT/?img_index=1</t>
  </si>
  <si>
    <t>Allentown</t>
  </si>
  <si>
    <t>3402500760</t>
  </si>
  <si>
    <t>Woody's Towne Café</t>
  </si>
  <si>
    <t>NJ Town #96: Allentown</t>
  </si>
  <si>
    <t>https://www.instagram.com/p/DEnQVmrxshl/</t>
  </si>
  <si>
    <t>Town #96</t>
  </si>
  <si>
    <t>Alloway</t>
  </si>
  <si>
    <t>Salem</t>
  </si>
  <si>
    <t>3403300880</t>
  </si>
  <si>
    <t>Alpha</t>
  </si>
  <si>
    <t>3404101030</t>
  </si>
  <si>
    <t>Alpha Family Restaurant</t>
  </si>
  <si>
    <t>Alpine</t>
  </si>
  <si>
    <t>3400301090</t>
  </si>
  <si>
    <t>Kiku Japanese Steakhouse</t>
  </si>
  <si>
    <t>2024-10-11</t>
  </si>
  <si>
    <t>Andover</t>
  </si>
  <si>
    <t>Sussex</t>
  </si>
  <si>
    <t>3403701330</t>
  </si>
  <si>
    <t>3403701360</t>
  </si>
  <si>
    <t>Asbury Park</t>
  </si>
  <si>
    <t>3402501960</t>
  </si>
  <si>
    <t>Pascal &amp; Sabine</t>
  </si>
  <si>
    <t>Atlantic City</t>
  </si>
  <si>
    <t>3400102080</t>
  </si>
  <si>
    <t>Amada</t>
  </si>
  <si>
    <t>https://www.theoceanac.com/restaurants/amada</t>
  </si>
  <si>
    <t>Atlantic Highlands</t>
  </si>
  <si>
    <t>3402502110</t>
  </si>
  <si>
    <t>On The Deck</t>
  </si>
  <si>
    <t>NJ Town #89: Atlantic Highlands</t>
  </si>
  <si>
    <t>https://www.instagram.com/p/DDV4lsBxiYH/</t>
  </si>
  <si>
    <t>Town #89</t>
  </si>
  <si>
    <t>Audubon</t>
  </si>
  <si>
    <t>Camden</t>
  </si>
  <si>
    <t>3400702200</t>
  </si>
  <si>
    <t>Cafe Nitido</t>
  </si>
  <si>
    <t>2025-12-31</t>
  </si>
  <si>
    <t>Audubon Park</t>
  </si>
  <si>
    <t>3400702230</t>
  </si>
  <si>
    <t>Avalon</t>
  </si>
  <si>
    <t>Cape May</t>
  </si>
  <si>
    <t>3400902320</t>
  </si>
  <si>
    <t>Avon-by-the-Sea</t>
  </si>
  <si>
    <t>3402502440</t>
  </si>
  <si>
    <t>The Columns</t>
  </si>
  <si>
    <t>NJ Town #104: Avon-by-the-Sea</t>
  </si>
  <si>
    <t>https://www.instagram.com/p/DF0YLZfxU-q/</t>
  </si>
  <si>
    <t>Town #104</t>
  </si>
  <si>
    <t>Barnegat</t>
  </si>
  <si>
    <t>Ocean</t>
  </si>
  <si>
    <t>3402903050</t>
  </si>
  <si>
    <t>Sun Harbor Seafood &amp; Grill</t>
  </si>
  <si>
    <t>Barnegat Light</t>
  </si>
  <si>
    <t>3402903130</t>
  </si>
  <si>
    <t>Mustache Bill's Diner</t>
  </si>
  <si>
    <t>Barrington</t>
  </si>
  <si>
    <t>3400703250</t>
  </si>
  <si>
    <t>Old Rail Bar</t>
  </si>
  <si>
    <t>2025-06-16</t>
  </si>
  <si>
    <t>Bass River</t>
  </si>
  <si>
    <t>Burlington</t>
  </si>
  <si>
    <t>3400503370</t>
  </si>
  <si>
    <t>Sad Boyz</t>
  </si>
  <si>
    <t>Bay Head</t>
  </si>
  <si>
    <t>3402903520</t>
  </si>
  <si>
    <t>The Grenville Restaurant &amp; Hotel</t>
  </si>
  <si>
    <t>Bayonne</t>
  </si>
  <si>
    <t>Hudson</t>
  </si>
  <si>
    <t>3401703580</t>
  </si>
  <si>
    <t>Otaiko Hibachi &amp; Sushi Lounge</t>
  </si>
  <si>
    <t>Beach Haven</t>
  </si>
  <si>
    <t>3402903940</t>
  </si>
  <si>
    <t>Black Whale Bar &amp; Fish House</t>
  </si>
  <si>
    <t>Beachwood</t>
  </si>
  <si>
    <t>3402904180</t>
  </si>
  <si>
    <t>Sand Castle Diner</t>
  </si>
  <si>
    <t>NJ Town #124: Beachwood</t>
  </si>
  <si>
    <t>https://www.instagram.com/p/DRXTcRNEbbt/</t>
  </si>
  <si>
    <t>NJ Town #124: Bonus Town Trivia</t>
  </si>
  <si>
    <t>https://www.instagram.com/p/DRpKS1OES5O/?img_index=1</t>
  </si>
  <si>
    <t>https://www.facebook.com/reel/1543556009974817</t>
  </si>
  <si>
    <t>https://www.facebook.com/permalink.php?story_fbid=pfbid04dYD4JWGLk55bhtpT3ZBfwCubZPaQ6vyAMKrpzzZ6tjHvnetXEDh4RXSxpeLbb1bl&amp;id=61569640546791</t>
  </si>
  <si>
    <t>Town #124</t>
  </si>
  <si>
    <t>Town #124 - Bonus Town Trivia</t>
  </si>
  <si>
    <t>Bedminster</t>
  </si>
  <si>
    <t>Somerset</t>
  </si>
  <si>
    <t>3403504450</t>
  </si>
  <si>
    <t>Belleville</t>
  </si>
  <si>
    <t>Essex</t>
  </si>
  <si>
    <t>3401304695</t>
  </si>
  <si>
    <t>Bellmawr</t>
  </si>
  <si>
    <t>3400704750</t>
  </si>
  <si>
    <t>Sakura Sushi &amp; Hibachi</t>
  </si>
  <si>
    <t>2023-11-05</t>
  </si>
  <si>
    <t>Belmar</t>
  </si>
  <si>
    <t>3402504930</t>
  </si>
  <si>
    <t>Flames Brazillian Steakhouse</t>
  </si>
  <si>
    <t>Belvidere</t>
  </si>
  <si>
    <t>3404104990</t>
  </si>
  <si>
    <t>town</t>
  </si>
  <si>
    <t>Uncle Buck's Diner</t>
  </si>
  <si>
    <t>Bergenfield</t>
  </si>
  <si>
    <t>3400305170</t>
  </si>
  <si>
    <t>Berkeley</t>
  </si>
  <si>
    <t>3402905305</t>
  </si>
  <si>
    <t>B2Bistro Waters Edge</t>
  </si>
  <si>
    <t>Berkeley Heights</t>
  </si>
  <si>
    <t>Union</t>
  </si>
  <si>
    <t>3403905320</t>
  </si>
  <si>
    <t>Berlin</t>
  </si>
  <si>
    <t>3400705440</t>
  </si>
  <si>
    <t>3400705470</t>
  </si>
  <si>
    <t>Bernards</t>
  </si>
  <si>
    <t>3403505560</t>
  </si>
  <si>
    <t>Olde Mill Inn</t>
  </si>
  <si>
    <t>Bernardsville</t>
  </si>
  <si>
    <t>3403505590</t>
  </si>
  <si>
    <t>Ristorante MV</t>
  </si>
  <si>
    <t>NJ Town #282: Bernardsville</t>
  </si>
  <si>
    <t>https://www.instagram.com/p/DQDBhbzkdDf/</t>
  </si>
  <si>
    <t>Town #283 - We're HALF WAY THERE!</t>
  </si>
  <si>
    <t>Bethlehem</t>
  </si>
  <si>
    <t>3401905650</t>
  </si>
  <si>
    <t>Beverly</t>
  </si>
  <si>
    <t>3400505740</t>
  </si>
  <si>
    <t>Taco Birria</t>
  </si>
  <si>
    <t>Blairstown</t>
  </si>
  <si>
    <t>3404106160</t>
  </si>
  <si>
    <t>Buck Hill Brewery &amp; Restaurant</t>
  </si>
  <si>
    <t>NJ Town #123: Blairstown</t>
  </si>
  <si>
    <t>https://www.instagram.com/p/DQo0IldESTD/</t>
  </si>
  <si>
    <t>NJ Town #123: Bonus Town Trivia</t>
  </si>
  <si>
    <t>https://www.instagram.com/p/DQ5er_aETGV/</t>
  </si>
  <si>
    <t>Town #123</t>
  </si>
  <si>
    <t>Town #123 - Bonus Town Trivia</t>
  </si>
  <si>
    <t>https://www.instagram.com/p/DQ5er_aETGV/?img_index=1</t>
  </si>
  <si>
    <t>Bloomfield</t>
  </si>
  <si>
    <t>3401306260</t>
  </si>
  <si>
    <t>Bloomingdale</t>
  </si>
  <si>
    <t>Passaic</t>
  </si>
  <si>
    <t>3403106340</t>
  </si>
  <si>
    <t>Bloomsbury</t>
  </si>
  <si>
    <t>3401906370</t>
  </si>
  <si>
    <t>Bogota</t>
  </si>
  <si>
    <t>3400306490</t>
  </si>
  <si>
    <t>Boonton</t>
  </si>
  <si>
    <t>Morris</t>
  </si>
  <si>
    <t>3402706610</t>
  </si>
  <si>
    <t>3402706640</t>
  </si>
  <si>
    <t>Bordentown</t>
  </si>
  <si>
    <t>3400506670</t>
  </si>
  <si>
    <t>Marcello's</t>
  </si>
  <si>
    <t>https://marcellosbordentown.com/</t>
  </si>
  <si>
    <t>https://www.instagram.com/p/DZFgLddRvHt/</t>
  </si>
  <si>
    <t>3400506700</t>
  </si>
  <si>
    <t>Bound Brook</t>
  </si>
  <si>
    <t>3403506790</t>
  </si>
  <si>
    <t>Bradley Beach</t>
  </si>
  <si>
    <t>3402506970</t>
  </si>
  <si>
    <t>Hatch 44</t>
  </si>
  <si>
    <t>Branchburg</t>
  </si>
  <si>
    <t>3403507180</t>
  </si>
  <si>
    <t>Branchville</t>
  </si>
  <si>
    <t>3403707300</t>
  </si>
  <si>
    <t>The Barnyard</t>
  </si>
  <si>
    <t>Brick</t>
  </si>
  <si>
    <t>3402907420</t>
  </si>
  <si>
    <t>Chuck &amp; Maureen's Pig Roast</t>
  </si>
  <si>
    <t>NJ Town #100: Brick</t>
  </si>
  <si>
    <t>https://www.instagram.com/p/DFEijoOx9Ny/?img_index=1</t>
  </si>
  <si>
    <t>https://www.facebook.com/permalink.php?story_fbid=pfbid02w9s314etvQoYKDPekMmXYEFFUUNFUEB9HK2EudLNyNEJeJiHSBwgioLuX7tb5u9Bl&amp;id=61569640546791</t>
  </si>
  <si>
    <t>Town #100</t>
  </si>
  <si>
    <t>Bridgeton</t>
  </si>
  <si>
    <t>Cumberland</t>
  </si>
  <si>
    <t>3401107600</t>
  </si>
  <si>
    <t>Bridgeton Family Diner &amp; Restaurant</t>
  </si>
  <si>
    <t>Google Maps</t>
  </si>
  <si>
    <t>https://maps.app.goo.gl/YKSxWGRvsQLd4Mi67</t>
  </si>
  <si>
    <t>Bridgewater</t>
  </si>
  <si>
    <t>3403507720</t>
  </si>
  <si>
    <t>Bridgewater Diner</t>
  </si>
  <si>
    <t>Brielle</t>
  </si>
  <si>
    <t>3402507750</t>
  </si>
  <si>
    <t>Waypoint 622</t>
  </si>
  <si>
    <t>NJ Town #110: Brielle</t>
  </si>
  <si>
    <t>https://www.instagram.com/p/DHjkZkOR_7P/</t>
  </si>
  <si>
    <t>Town #110</t>
  </si>
  <si>
    <t>Brigantine</t>
  </si>
  <si>
    <t>3400107810</t>
  </si>
  <si>
    <t>Yianni's Café</t>
  </si>
  <si>
    <t>https://yianniscafeoc.com/</t>
  </si>
  <si>
    <t>Brooklawn</t>
  </si>
  <si>
    <t>3400708170</t>
  </si>
  <si>
    <t>Gaetano's of Brooklawn</t>
  </si>
  <si>
    <t>Buena</t>
  </si>
  <si>
    <t>3400108680</t>
  </si>
  <si>
    <t>Buena Vista</t>
  </si>
  <si>
    <t>3400108710</t>
  </si>
  <si>
    <t>3400508920</t>
  </si>
  <si>
    <t>The Union House</t>
  </si>
  <si>
    <t>3400508950</t>
  </si>
  <si>
    <t>Butler</t>
  </si>
  <si>
    <t>3402709040</t>
  </si>
  <si>
    <t>Byram</t>
  </si>
  <si>
    <t>3403709160</t>
  </si>
  <si>
    <t>Caldwell</t>
  </si>
  <si>
    <t>3401309250</t>
  </si>
  <si>
    <t>Califon</t>
  </si>
  <si>
    <t>3401909280</t>
  </si>
  <si>
    <t>Oscar's Gourmet Restaurant</t>
  </si>
  <si>
    <t>3400710000</t>
  </si>
  <si>
    <t>3400910270</t>
  </si>
  <si>
    <t>Kohr Brother's</t>
  </si>
  <si>
    <t>https://kohrbros.com</t>
  </si>
  <si>
    <t>Cape May Point</t>
  </si>
  <si>
    <t>3400910330</t>
  </si>
  <si>
    <t>Carlstadt</t>
  </si>
  <si>
    <t>3400310480</t>
  </si>
  <si>
    <t>Biggie's Clam Bar</t>
  </si>
  <si>
    <t>2024-07-17</t>
  </si>
  <si>
    <t>Carneys Point</t>
  </si>
  <si>
    <t>3403310610</t>
  </si>
  <si>
    <t>Talk of the Towne</t>
  </si>
  <si>
    <t>Carteret</t>
  </si>
  <si>
    <t>Middlesex</t>
  </si>
  <si>
    <t>3402310750</t>
  </si>
  <si>
    <t>Hornito's Bakery &amp; Restaurant</t>
  </si>
  <si>
    <t>NJ Town #93: Carteret</t>
  </si>
  <si>
    <t>https://www.instagram.com/p/DEVQTC0RUeV/</t>
  </si>
  <si>
    <t>Town #93</t>
  </si>
  <si>
    <t>Cedar Grove</t>
  </si>
  <si>
    <t>3401311200</t>
  </si>
  <si>
    <t>Gigi's Cafe</t>
  </si>
  <si>
    <t>Chatham</t>
  </si>
  <si>
    <t>3402712100</t>
  </si>
  <si>
    <t>3402712130</t>
  </si>
  <si>
    <t>Cherry Hill</t>
  </si>
  <si>
    <t>3400712280</t>
  </si>
  <si>
    <t>Nan Xiang Soup Dumplings</t>
  </si>
  <si>
    <t>2025-10-07</t>
  </si>
  <si>
    <t>Chesilhurst</t>
  </si>
  <si>
    <t>3400712550</t>
  </si>
  <si>
    <t>Chester</t>
  </si>
  <si>
    <t>3402712580</t>
  </si>
  <si>
    <t>3402712610</t>
  </si>
  <si>
    <t>Chesterfield</t>
  </si>
  <si>
    <t>3400512670</t>
  </si>
  <si>
    <t>Cinnaminson</t>
  </si>
  <si>
    <t>3400512940</t>
  </si>
  <si>
    <t>Hibachi Grill &amp; Supreme Buffet</t>
  </si>
  <si>
    <t>City of Orange</t>
  </si>
  <si>
    <t>3401313045</t>
  </si>
  <si>
    <t>Clark</t>
  </si>
  <si>
    <t>3403913150</t>
  </si>
  <si>
    <t>White Diamond</t>
  </si>
  <si>
    <t>Clayton</t>
  </si>
  <si>
    <t>Gloucester</t>
  </si>
  <si>
    <t>3401513360</t>
  </si>
  <si>
    <t>Clementon</t>
  </si>
  <si>
    <t>3400713420</t>
  </si>
  <si>
    <t>Cliffside Park</t>
  </si>
  <si>
    <t>3400313570</t>
  </si>
  <si>
    <t>Mirak - Korean/Japanese Sushi Restauarant</t>
  </si>
  <si>
    <t>2023-01-02</t>
  </si>
  <si>
    <t>Clifton</t>
  </si>
  <si>
    <t>3403113690</t>
  </si>
  <si>
    <t>Tick Tock Diner</t>
  </si>
  <si>
    <t>Clinton</t>
  </si>
  <si>
    <t>3401913720</t>
  </si>
  <si>
    <t>The River Mill View</t>
  </si>
  <si>
    <t>NJ Town #122: Clinton (Town)</t>
  </si>
  <si>
    <t>https://www.instagram.com/p/DOywgWSkaht/</t>
  </si>
  <si>
    <t>NJ Town #122: Bonus Town Trivia</t>
  </si>
  <si>
    <t>https://www.instagram.com/p/DO9FQC-kQeO/?img_index=1</t>
  </si>
  <si>
    <t>https://www.facebook.com/reel/691219140006002</t>
  </si>
  <si>
    <t>https://www.facebook.com/permalink.php?story_fbid=pfbid02TF9j57yNdHYdErGN9H3fhgfRHMjakbPZNhmG3aaLkE18iFcvNSkLfDKCBWjNxQ3xl&amp;id=61569640546791</t>
  </si>
  <si>
    <t>Town #122</t>
  </si>
  <si>
    <t>Town #122 - Bonus Town Trivia</t>
  </si>
  <si>
    <t>3401913750</t>
  </si>
  <si>
    <t>Closter</t>
  </si>
  <si>
    <t>3400313810</t>
  </si>
  <si>
    <t>Collingswood</t>
  </si>
  <si>
    <t>3400714260</t>
  </si>
  <si>
    <t>Sabrina's Cafe</t>
  </si>
  <si>
    <t>2024-12-28</t>
  </si>
  <si>
    <t>Colts Neck</t>
  </si>
  <si>
    <t>3402514560</t>
  </si>
  <si>
    <t>Colts Neck Eatery</t>
  </si>
  <si>
    <t>NJ Town #90: Colts Neck</t>
  </si>
  <si>
    <t>https://www.instagram.com/p/DDbCxLgRuSh/</t>
  </si>
  <si>
    <t>Town #90</t>
  </si>
  <si>
    <t>https://www.instagram.com/p/DDbCxLgRuSh/?img_index=1</t>
  </si>
  <si>
    <t>Commercial</t>
  </si>
  <si>
    <t>3401114710</t>
  </si>
  <si>
    <t>Dino's Pizzaria</t>
  </si>
  <si>
    <t>Corbin City</t>
  </si>
  <si>
    <t>3400115160</t>
  </si>
  <si>
    <t>Cranbury</t>
  </si>
  <si>
    <t>3402315550</t>
  </si>
  <si>
    <t>Zinna's Bistro</t>
  </si>
  <si>
    <t>NJ Town #102: Cranbury</t>
  </si>
  <si>
    <t>https://www.instagram.com/p/DFN3QFwxTTD/</t>
  </si>
  <si>
    <t>Town #102</t>
  </si>
  <si>
    <t>Cranford</t>
  </si>
  <si>
    <t>3403915640</t>
  </si>
  <si>
    <t>Friend's House</t>
  </si>
  <si>
    <t>Cresskill</t>
  </si>
  <si>
    <t>3400315820</t>
  </si>
  <si>
    <t>Deal</t>
  </si>
  <si>
    <t>3402516660</t>
  </si>
  <si>
    <t>Deerfield</t>
  </si>
  <si>
    <t>3401116900</t>
  </si>
  <si>
    <t>Cedar Rose Vineyards</t>
  </si>
  <si>
    <t>Delanco</t>
  </si>
  <si>
    <t>3400517080</t>
  </si>
  <si>
    <t>Delaware</t>
  </si>
  <si>
    <t>3401917170</t>
  </si>
  <si>
    <t>Delran</t>
  </si>
  <si>
    <t>3400517440</t>
  </si>
  <si>
    <t>Demarest</t>
  </si>
  <si>
    <t>3400317530</t>
  </si>
  <si>
    <t>Dennis</t>
  </si>
  <si>
    <t>3400917560</t>
  </si>
  <si>
    <t>Denville</t>
  </si>
  <si>
    <t>3402717650</t>
  </si>
  <si>
    <t>Starbucks</t>
  </si>
  <si>
    <t>Deptford</t>
  </si>
  <si>
    <t>3401517710</t>
  </si>
  <si>
    <t>Umi Hotpot Sushi &amp; Seafood Buffet</t>
  </si>
  <si>
    <t>Dover</t>
  </si>
  <si>
    <t>3402718070</t>
  </si>
  <si>
    <t>Barry's Cafe &amp; Restaurant</t>
  </si>
  <si>
    <t>Downe</t>
  </si>
  <si>
    <t>3401118220</t>
  </si>
  <si>
    <t>The Charlesworth Restaurant</t>
  </si>
  <si>
    <t>Dumont</t>
  </si>
  <si>
    <t>3400318400</t>
  </si>
  <si>
    <t>Dunellen</t>
  </si>
  <si>
    <t>3402318490</t>
  </si>
  <si>
    <t>Mis Amigos</t>
  </si>
  <si>
    <t>NJ Town #118: Dunellen</t>
  </si>
  <si>
    <t>https://www.instagram.com/p/DL8GzhHRRRR/</t>
  </si>
  <si>
    <t>Town #118</t>
  </si>
  <si>
    <t>Eagleswood</t>
  </si>
  <si>
    <t>3402918670</t>
  </si>
  <si>
    <t>Calloway's Restaurant &amp; Bar</t>
  </si>
  <si>
    <t>East Amwell</t>
  </si>
  <si>
    <t>3401918820</t>
  </si>
  <si>
    <t>Old York Cellars Winery</t>
  </si>
  <si>
    <t>East Brunswick</t>
  </si>
  <si>
    <t>3402319000</t>
  </si>
  <si>
    <t>Bar Louie</t>
  </si>
  <si>
    <t>East Greenwich</t>
  </si>
  <si>
    <t>3401519180</t>
  </si>
  <si>
    <t>East Hanover</t>
  </si>
  <si>
    <t>3402719210</t>
  </si>
  <si>
    <t>East Newark</t>
  </si>
  <si>
    <t>3401719360</t>
  </si>
  <si>
    <t>Tops Diner</t>
  </si>
  <si>
    <t>NJ Town #113: East Newark</t>
  </si>
  <si>
    <t>https://www.instagram.com/p/DJkVCz_RHYf/</t>
  </si>
  <si>
    <t>Town #113</t>
  </si>
  <si>
    <t>East Orange</t>
  </si>
  <si>
    <t>3401319390</t>
  </si>
  <si>
    <t>East Rutherford</t>
  </si>
  <si>
    <t>3400319510</t>
  </si>
  <si>
    <t>"Wawa Picnic" - Tailgating for Springsteen</t>
  </si>
  <si>
    <t>2023-09-03</t>
  </si>
  <si>
    <t>NJ Town #111: East Rutherford</t>
  </si>
  <si>
    <t>https://www.instagram.com/p/DIuAH24xYCm/</t>
  </si>
  <si>
    <t>Town #111</t>
  </si>
  <si>
    <t>East Windsor</t>
  </si>
  <si>
    <t>Mercer</t>
  </si>
  <si>
    <t>3402119780</t>
  </si>
  <si>
    <t>Friend's Halloween Party</t>
  </si>
  <si>
    <t>Eastampton</t>
  </si>
  <si>
    <t>3400518790</t>
  </si>
  <si>
    <t>Eatontown</t>
  </si>
  <si>
    <t>3402519840</t>
  </si>
  <si>
    <t>Bobby's Burger Palace</t>
  </si>
  <si>
    <t>Edgewater</t>
  </si>
  <si>
    <t>3400320020</t>
  </si>
  <si>
    <t>Edgewater Park</t>
  </si>
  <si>
    <t>3400520050</t>
  </si>
  <si>
    <t>Edison</t>
  </si>
  <si>
    <t>3402320230</t>
  </si>
  <si>
    <t>Havana Central</t>
  </si>
  <si>
    <t>Egg Harbor</t>
  </si>
  <si>
    <t>3400120290</t>
  </si>
  <si>
    <t>Family Kusina</t>
  </si>
  <si>
    <t>Egg Harbor City</t>
  </si>
  <si>
    <t>3400120350</t>
  </si>
  <si>
    <t>Elizabeth</t>
  </si>
  <si>
    <t>3403921000</t>
  </si>
  <si>
    <t>Ikea</t>
  </si>
  <si>
    <t>Elk</t>
  </si>
  <si>
    <t>3401521060</t>
  </si>
  <si>
    <t>Elmer</t>
  </si>
  <si>
    <t>3403321240</t>
  </si>
  <si>
    <t>Elmwood Park</t>
  </si>
  <si>
    <t>3400321300</t>
  </si>
  <si>
    <t>Elsinboro</t>
  </si>
  <si>
    <t>3403321330</t>
  </si>
  <si>
    <t>Seagraves Subs</t>
  </si>
  <si>
    <t>Emerson</t>
  </si>
  <si>
    <t>3400321450</t>
  </si>
  <si>
    <t>Englewood</t>
  </si>
  <si>
    <t>3400321480</t>
  </si>
  <si>
    <t>Englewood Cliffs</t>
  </si>
  <si>
    <t>3400321510</t>
  </si>
  <si>
    <t>Brownstone Pancake Factory</t>
  </si>
  <si>
    <t>2024-01-15</t>
  </si>
  <si>
    <t>Englishtown</t>
  </si>
  <si>
    <t>3402521570</t>
  </si>
  <si>
    <t>Cholulas</t>
  </si>
  <si>
    <t>NJ Town #103: Englishtown</t>
  </si>
  <si>
    <t>https://www.instagram.com/p/DFeKuO5vXpB/</t>
  </si>
  <si>
    <t>Town #103</t>
  </si>
  <si>
    <t>Essex Fells</t>
  </si>
  <si>
    <t>3401321840</t>
  </si>
  <si>
    <t>Estell Manor</t>
  </si>
  <si>
    <t>3400121870</t>
  </si>
  <si>
    <t>Evesham</t>
  </si>
  <si>
    <t>3400522110</t>
  </si>
  <si>
    <t>Ewing</t>
  </si>
  <si>
    <t>3402122185</t>
  </si>
  <si>
    <t>Fair Haven</t>
  </si>
  <si>
    <t>3402522440</t>
  </si>
  <si>
    <t>Over Easy Kitchen</t>
  </si>
  <si>
    <t>Fair Lawn</t>
  </si>
  <si>
    <t>3400322470</t>
  </si>
  <si>
    <t>Fairfield</t>
  </si>
  <si>
    <t>3401122350</t>
  </si>
  <si>
    <t>Antojitos Guerrero Mx</t>
  </si>
  <si>
    <t>https://en.wikipedia.org/wiki/Fairfield_Township,_Cumberland_County,_New_Jersey</t>
  </si>
  <si>
    <t>3401322385</t>
  </si>
  <si>
    <t>https://en.wikipedia.org/wiki/Fairfield_Township,_Essex_County,_New_Jersey</t>
  </si>
  <si>
    <t>Fairview</t>
  </si>
  <si>
    <t>3400322560</t>
  </si>
  <si>
    <t>Cast Iron Pot Original</t>
  </si>
  <si>
    <t>2024-12-30</t>
  </si>
  <si>
    <t>Fanwood</t>
  </si>
  <si>
    <t>3403922860</t>
  </si>
  <si>
    <t>Far Hills</t>
  </si>
  <si>
    <t>3403522890</t>
  </si>
  <si>
    <t>Farmingdale</t>
  </si>
  <si>
    <t>3402522950</t>
  </si>
  <si>
    <t>Fieldsboro</t>
  </si>
  <si>
    <t>3400523250</t>
  </si>
  <si>
    <t>Mario &amp; Franks II</t>
  </si>
  <si>
    <t>Flemington</t>
  </si>
  <si>
    <t>3401923700</t>
  </si>
  <si>
    <t>Florence</t>
  </si>
  <si>
    <t>3400523850</t>
  </si>
  <si>
    <t>Friends' House - Birthday Party</t>
  </si>
  <si>
    <t>Florham Park</t>
  </si>
  <si>
    <t>3402723910</t>
  </si>
  <si>
    <t>Folsom</t>
  </si>
  <si>
    <t>3400123940</t>
  </si>
  <si>
    <t>Fort Lee</t>
  </si>
  <si>
    <t>3400324420</t>
  </si>
  <si>
    <t>Q Grill Korean BBQ &amp; Seafood</t>
  </si>
  <si>
    <t>2024-02-17</t>
  </si>
  <si>
    <t>Frankford</t>
  </si>
  <si>
    <t>3403724810</t>
  </si>
  <si>
    <t>The Carriage House @ Culver Lake</t>
  </si>
  <si>
    <t>Franklin</t>
  </si>
  <si>
    <t>3401524840</t>
  </si>
  <si>
    <t>https://en.wikipedia.org/wiki/Franklin_Township,_Gloucester_County,_New_Jersey</t>
  </si>
  <si>
    <t>3401924870</t>
  </si>
  <si>
    <t>https://en.wikipedia.org/wiki/Franklin_Township,_Hunterdon_County,_New_Jersey</t>
  </si>
  <si>
    <t>3403524900</t>
  </si>
  <si>
    <t>Sophie's Bistro</t>
  </si>
  <si>
    <t>https://en.wikipedia.org/wiki/Franklin_Township,_Somerset_County,_New_Jersey</t>
  </si>
  <si>
    <t>3403724930</t>
  </si>
  <si>
    <t>https://en.wikipedia.org/wiki/Franklin,_Sussex_County,_New_Jersey</t>
  </si>
  <si>
    <t>3404124960</t>
  </si>
  <si>
    <t>Asbury Coffee Mill</t>
  </si>
  <si>
    <t>https://en.wikipedia.org/wiki/Franklin_Township,_Warren_County,_New_Jersey</t>
  </si>
  <si>
    <t>Franklin Lakes</t>
  </si>
  <si>
    <t>3400324990</t>
  </si>
  <si>
    <t>Fredon</t>
  </si>
  <si>
    <t>3403725140</t>
  </si>
  <si>
    <t>Freehold</t>
  </si>
  <si>
    <t>3402525200</t>
  </si>
  <si>
    <t>Metropolian Café</t>
  </si>
  <si>
    <t>3402525230</t>
  </si>
  <si>
    <t>Frelinghuysen</t>
  </si>
  <si>
    <t>3404125320</t>
  </si>
  <si>
    <t>In-house Restaurant and Bar</t>
  </si>
  <si>
    <t>Frenchtown</t>
  </si>
  <si>
    <t>3401925350</t>
  </si>
  <si>
    <t>Bridge Café</t>
  </si>
  <si>
    <t>Galloway</t>
  </si>
  <si>
    <t>3400125560</t>
  </si>
  <si>
    <t>Seaview Hotel</t>
  </si>
  <si>
    <t>https://www.seaviewdolcehotel.com/</t>
  </si>
  <si>
    <t>Garfield</t>
  </si>
  <si>
    <t>3400325770</t>
  </si>
  <si>
    <t>Garwood</t>
  </si>
  <si>
    <t>3403925800</t>
  </si>
  <si>
    <t>A Cozy Corner Cuban Bistro</t>
  </si>
  <si>
    <t>Gibbsboro</t>
  </si>
  <si>
    <t>3400726070</t>
  </si>
  <si>
    <t>Glassboro</t>
  </si>
  <si>
    <t>3401526340</t>
  </si>
  <si>
    <t>Glen Gardner</t>
  </si>
  <si>
    <t>3401926550</t>
  </si>
  <si>
    <t>Glen Ridge</t>
  </si>
  <si>
    <t>3401326610</t>
  </si>
  <si>
    <t>Glen Rock</t>
  </si>
  <si>
    <t>3400326640</t>
  </si>
  <si>
    <t>3400726760</t>
  </si>
  <si>
    <t>Gloucester City</t>
  </si>
  <si>
    <t>3400726820</t>
  </si>
  <si>
    <t>Green</t>
  </si>
  <si>
    <t>3403727420</t>
  </si>
  <si>
    <t>Green Brook</t>
  </si>
  <si>
    <t>3403527510</t>
  </si>
  <si>
    <t>Green Lake Seafood &amp; Dim Sum</t>
  </si>
  <si>
    <t>Greenwich</t>
  </si>
  <si>
    <t>3401128170</t>
  </si>
  <si>
    <t>The Bait Box</t>
  </si>
  <si>
    <t>https://en.wikipedia.org/wiki/Greenwich_Township,_Cumberland_County,_New_Jersey</t>
  </si>
  <si>
    <t>3401528185</t>
  </si>
  <si>
    <t>https://en.wikipedia.org/wiki/Greenwich_Township,_Gloucester_County,_New_Jersey</t>
  </si>
  <si>
    <t>3404128260</t>
  </si>
  <si>
    <t>https://en.wikipedia.org/wiki/Greenwich_Township,_Warren_County,_New_Jersey</t>
  </si>
  <si>
    <t>Guttenberg</t>
  </si>
  <si>
    <t>3401728650</t>
  </si>
  <si>
    <t>Rumba Cubana</t>
  </si>
  <si>
    <t>NJ Town #99: Guttenberg</t>
  </si>
  <si>
    <t>https://www.instagram.com/p/DE5gvsaR9GF/</t>
  </si>
  <si>
    <t>Town #99</t>
  </si>
  <si>
    <t>Hackensack</t>
  </si>
  <si>
    <t>3400328680</t>
  </si>
  <si>
    <t>White Manna Hamburgers</t>
  </si>
  <si>
    <t>2024-09-21</t>
  </si>
  <si>
    <t>Hackettstown</t>
  </si>
  <si>
    <t>3404128710</t>
  </si>
  <si>
    <t>Haddon</t>
  </si>
  <si>
    <t>3400728740</t>
  </si>
  <si>
    <t>Haddon Heights</t>
  </si>
  <si>
    <t>3400728800</t>
  </si>
  <si>
    <t>Haddonfield</t>
  </si>
  <si>
    <t>3400728770</t>
  </si>
  <si>
    <t>Hainesport</t>
  </si>
  <si>
    <t>3400529010</t>
  </si>
  <si>
    <t>Lillo's Tomato Pies</t>
  </si>
  <si>
    <t>NJ Town #115: Hainesport</t>
  </si>
  <si>
    <t>https://www.instagram.com/p/DKQs2ySxUEk/</t>
  </si>
  <si>
    <t>https://www.facebook.com/reel/3551711418468987</t>
  </si>
  <si>
    <t>Town #115</t>
  </si>
  <si>
    <t>Haledon</t>
  </si>
  <si>
    <t>3403129070</t>
  </si>
  <si>
    <t>Hamburg</t>
  </si>
  <si>
    <t>3403729220</t>
  </si>
  <si>
    <t>Hamilton</t>
  </si>
  <si>
    <t>3400129280</t>
  </si>
  <si>
    <t>https://en.wikipedia.org/wiki/Hamilton_Township,_Atlantic_County,_New_Jersey</t>
  </si>
  <si>
    <t>3402129310</t>
  </si>
  <si>
    <t>Ratz</t>
  </si>
  <si>
    <t>https://en.wikipedia.org/wiki/Hamilton_Township,_Mercer_County,_New_Jersey</t>
  </si>
  <si>
    <t>Hammonton</t>
  </si>
  <si>
    <t>3400129430</t>
  </si>
  <si>
    <t>Hampton</t>
  </si>
  <si>
    <t>3401929460</t>
  </si>
  <si>
    <t>https://en.wikipedia.org/wiki/Hampton,_Hunterdon_County,_New_Jersey</t>
  </si>
  <si>
    <t>3403729490</t>
  </si>
  <si>
    <t>https://en.wikipedia.org/wiki/Hampton_Township,_Sussex_County,_New_Jersey</t>
  </si>
  <si>
    <t>Hanover</t>
  </si>
  <si>
    <t>3402729550</t>
  </si>
  <si>
    <t>The Auld Shebeen Pub (Marriott Hotel)</t>
  </si>
  <si>
    <t>Harding</t>
  </si>
  <si>
    <t>3402729700</t>
  </si>
  <si>
    <t>Hardwick</t>
  </si>
  <si>
    <t>3404129820</t>
  </si>
  <si>
    <t>Hardyston</t>
  </si>
  <si>
    <t>3403729850</t>
  </si>
  <si>
    <t>Harmony</t>
  </si>
  <si>
    <t>3404130090</t>
  </si>
  <si>
    <t>Tipton's Tavern</t>
  </si>
  <si>
    <t>Harrington Park</t>
  </si>
  <si>
    <t>3400330150</t>
  </si>
  <si>
    <t>Harrison</t>
  </si>
  <si>
    <t>3401530180</t>
  </si>
  <si>
    <t>blueplate</t>
  </si>
  <si>
    <t>https://en.wikipedia.org/wiki/Harrison_Township,_Gloucester_County,_New_Jersey</t>
  </si>
  <si>
    <t>3401730210</t>
  </si>
  <si>
    <t>Mi Flor De La Canela</t>
  </si>
  <si>
    <t>https://en.wikipedia.org/wiki/Harrison,_Hudson_County,_New_Jersey</t>
  </si>
  <si>
    <t>Harvey Cedars</t>
  </si>
  <si>
    <t>3402930390</t>
  </si>
  <si>
    <t>Black Eyed Susan's Restaurant &amp; Tavern</t>
  </si>
  <si>
    <t>Hasbrouck Heights</t>
  </si>
  <si>
    <t>3400330420</t>
  </si>
  <si>
    <t>Haworth</t>
  </si>
  <si>
    <t>3400330540</t>
  </si>
  <si>
    <t>Hawthorne</t>
  </si>
  <si>
    <t>3403130570</t>
  </si>
  <si>
    <t>Hazlet</t>
  </si>
  <si>
    <t>3402530690</t>
  </si>
  <si>
    <t>Tropical Hut Express</t>
  </si>
  <si>
    <t>Helmetta</t>
  </si>
  <si>
    <t>3402330840</t>
  </si>
  <si>
    <t>Thai Food Addict</t>
  </si>
  <si>
    <t>NJ Town #95: Helmetta</t>
  </si>
  <si>
    <t>https://www.instagram.com/p/DEgPM5MRjW_/</t>
  </si>
  <si>
    <t>Town #95</t>
  </si>
  <si>
    <t>Hi-Nella</t>
  </si>
  <si>
    <t>3400732220</t>
  </si>
  <si>
    <t>High Bridge</t>
  </si>
  <si>
    <t>3401931320</t>
  </si>
  <si>
    <t>Circa Restaurant</t>
  </si>
  <si>
    <t>Highland Park</t>
  </si>
  <si>
    <t>3402331470</t>
  </si>
  <si>
    <t>Mr Pi's Sushi</t>
  </si>
  <si>
    <t>NJ Town #119: Highland Park</t>
  </si>
  <si>
    <t>https://www.instagram.com/p/DMX7WD8x4H1/</t>
  </si>
  <si>
    <t>NJ Town #119: Bonus Town Trivia</t>
  </si>
  <si>
    <t>https://www.instagram.com/p/DMd0u1nR8_D/</t>
  </si>
  <si>
    <t>Town #119</t>
  </si>
  <si>
    <t>Town #119 - Bonus Town Trivia</t>
  </si>
  <si>
    <t>https://www.instagram.com/p/DMd0u1nR8_D/?img_index=1</t>
  </si>
  <si>
    <t>Highlands</t>
  </si>
  <si>
    <t>3402531500</t>
  </si>
  <si>
    <t>Bahr's Landing</t>
  </si>
  <si>
    <t>Hightstown</t>
  </si>
  <si>
    <t>3402131620</t>
  </si>
  <si>
    <t>Tavern on the Lake</t>
  </si>
  <si>
    <t>Hillsborough</t>
  </si>
  <si>
    <t>3403531890</t>
  </si>
  <si>
    <t>Family Member's Home</t>
  </si>
  <si>
    <t>Hillsdale</t>
  </si>
  <si>
    <t>3400331920</t>
  </si>
  <si>
    <t>Hillside</t>
  </si>
  <si>
    <t>3403931980</t>
  </si>
  <si>
    <t>Ho-Ho-Kus</t>
  </si>
  <si>
    <t>3400332310</t>
  </si>
  <si>
    <t>Hoboken</t>
  </si>
  <si>
    <t>3401732250</t>
  </si>
  <si>
    <t>Margherita's</t>
  </si>
  <si>
    <t>Holland</t>
  </si>
  <si>
    <t>3401932460</t>
  </si>
  <si>
    <t>Holmdel</t>
  </si>
  <si>
    <t>3402532640</t>
  </si>
  <si>
    <t>Fox Hollow Vineyards</t>
  </si>
  <si>
    <t>Hopatcong</t>
  </si>
  <si>
    <t>3403732910</t>
  </si>
  <si>
    <t>Hopatcong Diner</t>
  </si>
  <si>
    <t>NJ Town #128: Hopatcong</t>
  </si>
  <si>
    <t>https://www.instagram.com/p/DWJerldEWuT/</t>
  </si>
  <si>
    <t>NJ Town #128: Bonus Town Trivia</t>
  </si>
  <si>
    <t>https://www.instagram.com/p/DWjmsLEEXb_/</t>
  </si>
  <si>
    <t>Hope</t>
  </si>
  <si>
    <t>3404133060</t>
  </si>
  <si>
    <t>Hopewell</t>
  </si>
  <si>
    <t>3401133120</t>
  </si>
  <si>
    <t>The Greater Bridgeton Amish Market</t>
  </si>
  <si>
    <t>https://en.wikipedia.org/wiki/Hopewell_Township,_Cumberland_County,_New_Jersey</t>
  </si>
  <si>
    <t>3402133150</t>
  </si>
  <si>
    <t>https://en.wikipedia.org/wiki/Hopewell,_Mercer_County,_New_Jersey</t>
  </si>
  <si>
    <t>3402133180</t>
  </si>
  <si>
    <t>Wildflowers Inn</t>
  </si>
  <si>
    <t>https://en.wikipedia.org/wiki/Hopewell_Township,_Mercer_County,_New_Jersey</t>
  </si>
  <si>
    <t>Howell</t>
  </si>
  <si>
    <t>3402533300</t>
  </si>
  <si>
    <t>Chapter House</t>
  </si>
  <si>
    <t>Independence</t>
  </si>
  <si>
    <t>3404133930</t>
  </si>
  <si>
    <t>Interlaken</t>
  </si>
  <si>
    <t>3402534200</t>
  </si>
  <si>
    <t>Irvington</t>
  </si>
  <si>
    <t>3401334450</t>
  </si>
  <si>
    <t>Antojitos Restaurant</t>
  </si>
  <si>
    <t>NJ Town #109: Irvington</t>
  </si>
  <si>
    <t>https://www.instagram.com/p/DHEjubkRS09/</t>
  </si>
  <si>
    <t>Town #109</t>
  </si>
  <si>
    <t>Island Heights</t>
  </si>
  <si>
    <t>3402934530</t>
  </si>
  <si>
    <t>Jackson</t>
  </si>
  <si>
    <t>3402934680</t>
  </si>
  <si>
    <t>Great Adventure</t>
  </si>
  <si>
    <t>Jamesburg</t>
  </si>
  <si>
    <t>3402334890</t>
  </si>
  <si>
    <t>The Diner</t>
  </si>
  <si>
    <t>Jefferson</t>
  </si>
  <si>
    <t>3402734980</t>
  </si>
  <si>
    <t>The Jefferson Diner</t>
  </si>
  <si>
    <t>Jersey City</t>
  </si>
  <si>
    <t>3401736000</t>
  </si>
  <si>
    <t>Max's Chicken</t>
  </si>
  <si>
    <t>Keansburg</t>
  </si>
  <si>
    <t>3402536480</t>
  </si>
  <si>
    <t>The Beach Gallery</t>
  </si>
  <si>
    <t>Kearny</t>
  </si>
  <si>
    <t>3401736510</t>
  </si>
  <si>
    <t>Vincente's Bread Kitchen &amp; Cafe</t>
  </si>
  <si>
    <t>Kenilworth</t>
  </si>
  <si>
    <t>3403936690</t>
  </si>
  <si>
    <t>Keyport</t>
  </si>
  <si>
    <t>3402536810</t>
  </si>
  <si>
    <t>Lenora's Café</t>
  </si>
  <si>
    <t>Kingwood</t>
  </si>
  <si>
    <t>3401937065</t>
  </si>
  <si>
    <t>Famous River Hot Dog Man</t>
  </si>
  <si>
    <t>Kinnelon</t>
  </si>
  <si>
    <t>3402737110</t>
  </si>
  <si>
    <t>Knowlton</t>
  </si>
  <si>
    <t>3404137320</t>
  </si>
  <si>
    <t>The Log Cabin Bar &amp; Grill</t>
  </si>
  <si>
    <t>Lacey</t>
  </si>
  <si>
    <t>3402937380</t>
  </si>
  <si>
    <t>The Waterfront</t>
  </si>
  <si>
    <t>NJ Town #107: Lacey</t>
  </si>
  <si>
    <t>https://www.instagram.com/p/DGgzwX1xdM0/</t>
  </si>
  <si>
    <t>https://www.facebook.com/reel/1534430474612131</t>
  </si>
  <si>
    <t>Town #107</t>
  </si>
  <si>
    <t>Lafayette</t>
  </si>
  <si>
    <t>3403737440</t>
  </si>
  <si>
    <t>Millside Cafe</t>
  </si>
  <si>
    <t>Lake Como</t>
  </si>
  <si>
    <t>3402537560</t>
  </si>
  <si>
    <t>Lakehurst</t>
  </si>
  <si>
    <t>3402937770</t>
  </si>
  <si>
    <t>Lakehurst Diner</t>
  </si>
  <si>
    <t>NJ Town #112: Lakehurst</t>
  </si>
  <si>
    <t>https://www.instagram.com/p/DJPaQCIR7RA/</t>
  </si>
  <si>
    <t>https://fb.watch/Gj-LKnNvvM/</t>
  </si>
  <si>
    <t>Town #112</t>
  </si>
  <si>
    <t>Lakewood</t>
  </si>
  <si>
    <t>3402938550</t>
  </si>
  <si>
    <t>Route 70 Diner</t>
  </si>
  <si>
    <t>Lambertville</t>
  </si>
  <si>
    <t>3401938610</t>
  </si>
  <si>
    <t>The Hawke</t>
  </si>
  <si>
    <t>NJ Town #105: Lambertville</t>
  </si>
  <si>
    <t>https://www.instagram.com/p/DF-yE6JRwp1/</t>
  </si>
  <si>
    <t>https://www.facebook.com/reel/3874846722829800</t>
  </si>
  <si>
    <t>Town #105</t>
  </si>
  <si>
    <t>Laurel Springs</t>
  </si>
  <si>
    <t>3400739210</t>
  </si>
  <si>
    <t>Lavallette</t>
  </si>
  <si>
    <t>3402939390</t>
  </si>
  <si>
    <t>Lawnside</t>
  </si>
  <si>
    <t>3400739420</t>
  </si>
  <si>
    <t>Lawrence</t>
  </si>
  <si>
    <t>3401139450</t>
  </si>
  <si>
    <t>Bull on the Barn Bayshore Crab House</t>
  </si>
  <si>
    <t>https://en.wikipedia.org/wiki/Lawrence_Township,_Cumberland_County,_New_Jersey</t>
  </si>
  <si>
    <t>3402139510</t>
  </si>
  <si>
    <t>Route 1 Diner</t>
  </si>
  <si>
    <t>https://www.route1diner.com/</t>
  </si>
  <si>
    <t>https://en.wikipedia.org/wiki/Lawrence_Township,_Mercer_County,_New_Jersey</t>
  </si>
  <si>
    <t>NJ Town #129: Lawrence</t>
  </si>
  <si>
    <t>https://www.instagram.com/p/DXmxmYrR577/</t>
  </si>
  <si>
    <t>NJ Town #129: Bonus Town Trivia</t>
  </si>
  <si>
    <t>https://www.instagram.com/p/DX4f85NkZE3/</t>
  </si>
  <si>
    <t>https://www.facebook.com/reel/1282624290064029</t>
  </si>
  <si>
    <t>Lebanon</t>
  </si>
  <si>
    <t>3401939630</t>
  </si>
  <si>
    <t>3401939660</t>
  </si>
  <si>
    <t>Leonia</t>
  </si>
  <si>
    <t>3400340020</t>
  </si>
  <si>
    <t>Liberty</t>
  </si>
  <si>
    <t>3404140110</t>
  </si>
  <si>
    <t>Lincoln Park</t>
  </si>
  <si>
    <t>3402740290</t>
  </si>
  <si>
    <t>Linden</t>
  </si>
  <si>
    <t>3403940350</t>
  </si>
  <si>
    <t>Abigail's Restaurant</t>
  </si>
  <si>
    <t>Lindenwold</t>
  </si>
  <si>
    <t>3400740440</t>
  </si>
  <si>
    <t>Linwood</t>
  </si>
  <si>
    <t>3400140530</t>
  </si>
  <si>
    <t>Barista's Coffee House</t>
  </si>
  <si>
    <t>https://www.baristascoffeehouse.com/</t>
  </si>
  <si>
    <t>Little Egg Harbor</t>
  </si>
  <si>
    <t>3402940560</t>
  </si>
  <si>
    <t>Little Falls</t>
  </si>
  <si>
    <t>3403140620</t>
  </si>
  <si>
    <t>The Falls Kitchen</t>
  </si>
  <si>
    <t>Little Ferry</t>
  </si>
  <si>
    <t>3400340680</t>
  </si>
  <si>
    <t>Little Silver</t>
  </si>
  <si>
    <t>3402540770</t>
  </si>
  <si>
    <t>Livingston</t>
  </si>
  <si>
    <t>3401340890</t>
  </si>
  <si>
    <t>Sweet Basil's Cafe &amp; Grille</t>
  </si>
  <si>
    <t>Loch Arbour</t>
  </si>
  <si>
    <t>3402541010</t>
  </si>
  <si>
    <t>village</t>
  </si>
  <si>
    <t>Deal Lake Bar &amp; Co</t>
  </si>
  <si>
    <t>Lodi</t>
  </si>
  <si>
    <t>3400341100</t>
  </si>
  <si>
    <t>Wawa</t>
  </si>
  <si>
    <t>2022-10-10</t>
  </si>
  <si>
    <t>Logan</t>
  </si>
  <si>
    <t>3401541160</t>
  </si>
  <si>
    <t>BBQ Clubhouse @ Dalton Farms</t>
  </si>
  <si>
    <t>Long Beach</t>
  </si>
  <si>
    <t>3402941250</t>
  </si>
  <si>
    <t>Long Branch</t>
  </si>
  <si>
    <t>3402541310</t>
  </si>
  <si>
    <t>Avenue le Club</t>
  </si>
  <si>
    <t>Long Hill</t>
  </si>
  <si>
    <t>3402741362</t>
  </si>
  <si>
    <t>Longport</t>
  </si>
  <si>
    <t>3400141370</t>
  </si>
  <si>
    <t>Ozzie's Luncheonette</t>
  </si>
  <si>
    <t>https://ozzieslongport.com/</t>
  </si>
  <si>
    <t>Lopatcong</t>
  </si>
  <si>
    <t>3404141490</t>
  </si>
  <si>
    <t>Acasia Thai Restaurant</t>
  </si>
  <si>
    <t>Lower</t>
  </si>
  <si>
    <t>3400941610</t>
  </si>
  <si>
    <t>Lower Alloways Creek</t>
  </si>
  <si>
    <t>3403341640</t>
  </si>
  <si>
    <t>Cedar Creek Pizza &amp; Grill</t>
  </si>
  <si>
    <t>Lumberton</t>
  </si>
  <si>
    <t>3400542060</t>
  </si>
  <si>
    <t>Lyndhurst</t>
  </si>
  <si>
    <t>3400342090</t>
  </si>
  <si>
    <t>Lassoni</t>
  </si>
  <si>
    <t>2016-11-19</t>
  </si>
  <si>
    <t>Madison</t>
  </si>
  <si>
    <t>3402742510</t>
  </si>
  <si>
    <t>Magnolia</t>
  </si>
  <si>
    <t>3400742630</t>
  </si>
  <si>
    <t>Mahwah</t>
  </si>
  <si>
    <t>3400342750</t>
  </si>
  <si>
    <t>Prime No. 7 x Ugly Chicken Korean BBQ</t>
  </si>
  <si>
    <t>2024-07-12</t>
  </si>
  <si>
    <t>Manalapan</t>
  </si>
  <si>
    <t>3402542990</t>
  </si>
  <si>
    <t>Peking Pavillion</t>
  </si>
  <si>
    <t>Manasquan</t>
  </si>
  <si>
    <t>3402543050</t>
  </si>
  <si>
    <t>BBQ at Cousin Phil's House</t>
  </si>
  <si>
    <t>Manchester</t>
  </si>
  <si>
    <t>3402943140</t>
  </si>
  <si>
    <t>Mannington</t>
  </si>
  <si>
    <t>3403343200</t>
  </si>
  <si>
    <t>Java Dog Coffee &amp; Tea</t>
  </si>
  <si>
    <t>Mansfield</t>
  </si>
  <si>
    <t>3400543290</t>
  </si>
  <si>
    <t>https://en.wikipedia.org/wiki/Mansfield_Township,_Burlington_County,_New_Jersey</t>
  </si>
  <si>
    <t>3404143320</t>
  </si>
  <si>
    <t>https://en.wikipedia.org/wiki/Mansfield_Township,_Warren_County,_New_Jersey</t>
  </si>
  <si>
    <t>Mantoloking</t>
  </si>
  <si>
    <t>3402943380</t>
  </si>
  <si>
    <t>Mantua</t>
  </si>
  <si>
    <t>3401543440</t>
  </si>
  <si>
    <t>Manville</t>
  </si>
  <si>
    <t>3403543620</t>
  </si>
  <si>
    <t>Maple Shade</t>
  </si>
  <si>
    <t>3400543740</t>
  </si>
  <si>
    <t>Maplewood</t>
  </si>
  <si>
    <t>3401343800</t>
  </si>
  <si>
    <t>Mt Fuji Restaurant</t>
  </si>
  <si>
    <t>Margate City</t>
  </si>
  <si>
    <t>3400143890</t>
  </si>
  <si>
    <t>Marlboro</t>
  </si>
  <si>
    <t>3402544070</t>
  </si>
  <si>
    <t>Tio's Tacos + Tequila Bar</t>
  </si>
  <si>
    <t>Matawan</t>
  </si>
  <si>
    <t>3402544520</t>
  </si>
  <si>
    <t>Maloney's</t>
  </si>
  <si>
    <t>Maurice River</t>
  </si>
  <si>
    <t>3401144580</t>
  </si>
  <si>
    <t>Maurice River Diner</t>
  </si>
  <si>
    <t>Maywood</t>
  </si>
  <si>
    <t>3400344880</t>
  </si>
  <si>
    <t>Mario's Pizza</t>
  </si>
  <si>
    <t>2021-12-03</t>
  </si>
  <si>
    <t>Medford</t>
  </si>
  <si>
    <t>3400545120</t>
  </si>
  <si>
    <t>Medford Lakes</t>
  </si>
  <si>
    <t>3400545210</t>
  </si>
  <si>
    <t>Mendham</t>
  </si>
  <si>
    <t>3402745330</t>
  </si>
  <si>
    <t>3402745360</t>
  </si>
  <si>
    <t>Merchantville</t>
  </si>
  <si>
    <t>3400745510</t>
  </si>
  <si>
    <t>Blue Monkey Tavern</t>
  </si>
  <si>
    <t>2026-03-06</t>
  </si>
  <si>
    <t>NJ Town #284: Merchantville (Preview)</t>
  </si>
  <si>
    <t>https://www.instagram.com/p/DVoT0fykWka/</t>
  </si>
  <si>
    <t>Town #284 - Blue Monkey Tavern (Preview)</t>
  </si>
  <si>
    <t>Metuchen</t>
  </si>
  <si>
    <t>3402345690</t>
  </si>
  <si>
    <t>Mariachi Mexican</t>
  </si>
  <si>
    <t>Middle</t>
  </si>
  <si>
    <t>3400945810</t>
  </si>
  <si>
    <t>Provence</t>
  </si>
  <si>
    <t>https://provencecapemay.com/</t>
  </si>
  <si>
    <t>3402345900</t>
  </si>
  <si>
    <t>Los Antojitos BBQ Middlesex</t>
  </si>
  <si>
    <t>Middletown</t>
  </si>
  <si>
    <t>3402545990</t>
  </si>
  <si>
    <t>Nicholas Barrel &amp; Roost</t>
  </si>
  <si>
    <t>Midland Park</t>
  </si>
  <si>
    <t>3400346110</t>
  </si>
  <si>
    <t>Milford</t>
  </si>
  <si>
    <t>3401946260</t>
  </si>
  <si>
    <t>Millburn</t>
  </si>
  <si>
    <t>3401346380</t>
  </si>
  <si>
    <t>Primo Mercato</t>
  </si>
  <si>
    <t>Millstone</t>
  </si>
  <si>
    <t>3402546560</t>
  </si>
  <si>
    <t>Dairy Queen</t>
  </si>
  <si>
    <t>https://en.wikipedia.org/wiki/Millstone_Township,_Monmouth_County,_New_Jersey</t>
  </si>
  <si>
    <t>3403546590</t>
  </si>
  <si>
    <t>https://en.wikipedia.org/wiki/Millstone,_Somerset_County,_New_Jersey</t>
  </si>
  <si>
    <t>Milltown</t>
  </si>
  <si>
    <t>3402346620</t>
  </si>
  <si>
    <t>Fresco Steak &amp; Seafood - Dinner with Ryan</t>
  </si>
  <si>
    <t>Millville</t>
  </si>
  <si>
    <t>3401146680</t>
  </si>
  <si>
    <t>Old Oar House Irish Pub</t>
  </si>
  <si>
    <t>Mine Hill</t>
  </si>
  <si>
    <t>3402746860</t>
  </si>
  <si>
    <t>Monmouth Beach</t>
  </si>
  <si>
    <t>3402547130</t>
  </si>
  <si>
    <t>Friend's Birthday Party</t>
  </si>
  <si>
    <t>Monroe</t>
  </si>
  <si>
    <t>3401547250</t>
  </si>
  <si>
    <t>https://en.wikipedia.org/wiki/Monroe_Township,_Gloucester_County,_New_Jersey</t>
  </si>
  <si>
    <t>3402347280</t>
  </si>
  <si>
    <t>Taverna Ouzo (now closed)</t>
  </si>
  <si>
    <t>https://en.wikipedia.org/wiki/Monroe_Township,_Middlesex_County,_New_Jersey</t>
  </si>
  <si>
    <t>Montague</t>
  </si>
  <si>
    <t>3403747430</t>
  </si>
  <si>
    <t>Sandy's Pizza</t>
  </si>
  <si>
    <t>Montclair</t>
  </si>
  <si>
    <t>3401347500</t>
  </si>
  <si>
    <t>Cuban Pete's</t>
  </si>
  <si>
    <t>Montgomery</t>
  </si>
  <si>
    <t>3403547580</t>
  </si>
  <si>
    <t>Ricky's Thai</t>
  </si>
  <si>
    <t>Montvale</t>
  </si>
  <si>
    <t>3400347610</t>
  </si>
  <si>
    <t>Montville</t>
  </si>
  <si>
    <t>3402747670</t>
  </si>
  <si>
    <t>Olivo Mediterranean Fare</t>
  </si>
  <si>
    <t>Moonachie</t>
  </si>
  <si>
    <t>3400347700</t>
  </si>
  <si>
    <t>Segovia Restaurant</t>
  </si>
  <si>
    <t>2024-02-14</t>
  </si>
  <si>
    <t>Moorestown</t>
  </si>
  <si>
    <t>3400547880</t>
  </si>
  <si>
    <t>Yard House</t>
  </si>
  <si>
    <t>3402748090</t>
  </si>
  <si>
    <t>Family's Home - Birthday</t>
  </si>
  <si>
    <t>Morris Plains</t>
  </si>
  <si>
    <t>3402748210</t>
  </si>
  <si>
    <t>Morristown</t>
  </si>
  <si>
    <t>3402748300</t>
  </si>
  <si>
    <t>Mount Arlington</t>
  </si>
  <si>
    <t>3402748690</t>
  </si>
  <si>
    <t>Mount Ephraim</t>
  </si>
  <si>
    <t>3400748750</t>
  </si>
  <si>
    <t>Mount Holly</t>
  </si>
  <si>
    <t>3400548900</t>
  </si>
  <si>
    <t>B-Unos</t>
  </si>
  <si>
    <t>NJ Town #114: Mount Holly</t>
  </si>
  <si>
    <t>https://www.instagram.com/p/DJ7Gzp6xnp0/</t>
  </si>
  <si>
    <t>https://www.facebook.com/reel/1132004315359798</t>
  </si>
  <si>
    <t>Town #114</t>
  </si>
  <si>
    <t>Mount Laurel</t>
  </si>
  <si>
    <t>3400549020</t>
  </si>
  <si>
    <t>Manila Cafe &amp; Asian Mart</t>
  </si>
  <si>
    <t>NJ Town #116: Mount Laurel</t>
  </si>
  <si>
    <t>https://www.instagram.com/p/DK18MMBRK3U/</t>
  </si>
  <si>
    <t>https://www.facebook.com/reel/2980026428868561</t>
  </si>
  <si>
    <t>Town #116</t>
  </si>
  <si>
    <t>Mount Olive</t>
  </si>
  <si>
    <t>3402749080</t>
  </si>
  <si>
    <t>Mountain Lakes</t>
  </si>
  <si>
    <t>3402748480</t>
  </si>
  <si>
    <t>Mountainside</t>
  </si>
  <si>
    <t>3403948510</t>
  </si>
  <si>
    <t>Watchung Reservation - Family BBQ</t>
  </si>
  <si>
    <t>Mullica</t>
  </si>
  <si>
    <t>3400149410</t>
  </si>
  <si>
    <t>National Park</t>
  </si>
  <si>
    <t>3401549680</t>
  </si>
  <si>
    <t>Coconut Grove Dockside Bar</t>
  </si>
  <si>
    <t>Neptune</t>
  </si>
  <si>
    <t>3402549890</t>
  </si>
  <si>
    <t>Brick House Tavern &amp; Tap</t>
  </si>
  <si>
    <t>Neptune City</t>
  </si>
  <si>
    <t>3402549920</t>
  </si>
  <si>
    <t>Pete &amp; Elda's Bar</t>
  </si>
  <si>
    <t>Netcong</t>
  </si>
  <si>
    <t>3402750130</t>
  </si>
  <si>
    <t>New Brunswick</t>
  </si>
  <si>
    <t>3402351210</t>
  </si>
  <si>
    <t>Old Man Rafferty's</t>
  </si>
  <si>
    <t>New Hanover</t>
  </si>
  <si>
    <t>3400551510</t>
  </si>
  <si>
    <t>New Milford</t>
  </si>
  <si>
    <t>3400351660</t>
  </si>
  <si>
    <t>New Providence</t>
  </si>
  <si>
    <t>3403951810</t>
  </si>
  <si>
    <t>Newark</t>
  </si>
  <si>
    <t>3401351000</t>
  </si>
  <si>
    <t>Casa d'Paco</t>
  </si>
  <si>
    <t>Newfield</t>
  </si>
  <si>
    <t>3401551390</t>
  </si>
  <si>
    <t>Newton</t>
  </si>
  <si>
    <t>3403751930</t>
  </si>
  <si>
    <t>North Arlington</t>
  </si>
  <si>
    <t>3400352320</t>
  </si>
  <si>
    <t>Pizzaland</t>
  </si>
  <si>
    <t>2023-11-26</t>
  </si>
  <si>
    <t>North Bergen</t>
  </si>
  <si>
    <t>3401752470</t>
  </si>
  <si>
    <t>North Brunswick</t>
  </si>
  <si>
    <t>3402352560</t>
  </si>
  <si>
    <t>Bertucci's (now closed) - Raymond Patel Baptism</t>
  </si>
  <si>
    <t>North Caldwell</t>
  </si>
  <si>
    <t>3401352620</t>
  </si>
  <si>
    <t>North Haledon</t>
  </si>
  <si>
    <t>3403153040</t>
  </si>
  <si>
    <t>North Hanover</t>
  </si>
  <si>
    <t>3400553070</t>
  </si>
  <si>
    <t>North Plainfield</t>
  </si>
  <si>
    <t>3403553280</t>
  </si>
  <si>
    <t>North Wildwood</t>
  </si>
  <si>
    <t>3400953490</t>
  </si>
  <si>
    <t>Northfield</t>
  </si>
  <si>
    <t>3400152950</t>
  </si>
  <si>
    <t>Venture's Offshore Café</t>
  </si>
  <si>
    <t>Ventura's Offshore Café</t>
  </si>
  <si>
    <t>https://www.venturascafe.com/</t>
  </si>
  <si>
    <t>Northvale</t>
  </si>
  <si>
    <t>3400353430</t>
  </si>
  <si>
    <t>Norwood</t>
  </si>
  <si>
    <t>3400353610</t>
  </si>
  <si>
    <t>Nutley</t>
  </si>
  <si>
    <t>3401353680</t>
  </si>
  <si>
    <t>Sonoma Bistro Bar &amp; Grill</t>
  </si>
  <si>
    <t>Oakland</t>
  </si>
  <si>
    <t>3400353850</t>
  </si>
  <si>
    <t>Oaklyn</t>
  </si>
  <si>
    <t>3400753880</t>
  </si>
  <si>
    <t>Los Jalapenos Grill</t>
  </si>
  <si>
    <t>2025-05-05</t>
  </si>
  <si>
    <t>NJ Town #271: Oaklyn</t>
  </si>
  <si>
    <t>https://www.instagram.com/p/DX-Y8c5RTma/</t>
  </si>
  <si>
    <t>3402554270</t>
  </si>
  <si>
    <t>Blue Swan Diner</t>
  </si>
  <si>
    <t>https://en.wikipedia.org/wiki/Ocean_Township,_Monmouth_County,_New_Jersey</t>
  </si>
  <si>
    <t>3402954300</t>
  </si>
  <si>
    <t>Clemmy's</t>
  </si>
  <si>
    <t>https://en.wikipedia.org/wiki/Ocean_Township,_Ocean_County,_New_Jersey</t>
  </si>
  <si>
    <t>Ocean City</t>
  </si>
  <si>
    <t>3400954360</t>
  </si>
  <si>
    <t>Chatterbox</t>
  </si>
  <si>
    <t>Ocean Gate</t>
  </si>
  <si>
    <t>3402954450</t>
  </si>
  <si>
    <t>Rosie's</t>
  </si>
  <si>
    <t>Oceanport</t>
  </si>
  <si>
    <t>3402554570</t>
  </si>
  <si>
    <t>The Blu Grotto (with the Nerds)</t>
  </si>
  <si>
    <t>NJ Town #117: Oceanport</t>
  </si>
  <si>
    <t>https://www.instagram.com/p/DLkqHGKxgPY/</t>
  </si>
  <si>
    <t>Town #117</t>
  </si>
  <si>
    <t>Ogdensburg</t>
  </si>
  <si>
    <t>3403754660</t>
  </si>
  <si>
    <t>Old Bridge</t>
  </si>
  <si>
    <t>3402354705</t>
  </si>
  <si>
    <t>Thai Thai</t>
  </si>
  <si>
    <t>Old Tappan</t>
  </si>
  <si>
    <t>3400354870</t>
  </si>
  <si>
    <t>Oldmans</t>
  </si>
  <si>
    <t>3403354810</t>
  </si>
  <si>
    <t>Oradell</t>
  </si>
  <si>
    <t>3400354990</t>
  </si>
  <si>
    <t>Oxford</t>
  </si>
  <si>
    <t>3404155530</t>
  </si>
  <si>
    <t>Palisades Park</t>
  </si>
  <si>
    <t>3400355770</t>
  </si>
  <si>
    <t>Cafe Mocha</t>
  </si>
  <si>
    <t>Palmyra</t>
  </si>
  <si>
    <t>3400555800</t>
  </si>
  <si>
    <t>Paramus</t>
  </si>
  <si>
    <t>3400355950</t>
  </si>
  <si>
    <t>Park Ridge</t>
  </si>
  <si>
    <t>3400356130</t>
  </si>
  <si>
    <t>Parsippany-Troy Hills</t>
  </si>
  <si>
    <t>3402756460</t>
  </si>
  <si>
    <t>Zinburger</t>
  </si>
  <si>
    <t>3403156550</t>
  </si>
  <si>
    <t>Paterson</t>
  </si>
  <si>
    <t>3403157000</t>
  </si>
  <si>
    <t>Paulsboro</t>
  </si>
  <si>
    <t>3401557150</t>
  </si>
  <si>
    <t>Osteria 545</t>
  </si>
  <si>
    <t>Peapack and Gladstone</t>
  </si>
  <si>
    <t>3403557300</t>
  </si>
  <si>
    <t>Pemberton</t>
  </si>
  <si>
    <t>3400557480</t>
  </si>
  <si>
    <t>Burger King</t>
  </si>
  <si>
    <t>3400557510</t>
  </si>
  <si>
    <t>Pennington</t>
  </si>
  <si>
    <t>3402157600</t>
  </si>
  <si>
    <t>Vito's Pizza</t>
  </si>
  <si>
    <t>Penns Grove</t>
  </si>
  <si>
    <t>3403357750</t>
  </si>
  <si>
    <t>Taqueria Atexquita</t>
  </si>
  <si>
    <t>Pennsauken</t>
  </si>
  <si>
    <t>3400757660</t>
  </si>
  <si>
    <t>Pennsville</t>
  </si>
  <si>
    <t>3403357870</t>
  </si>
  <si>
    <t>The Shipyard</t>
  </si>
  <si>
    <t>Pequannock</t>
  </si>
  <si>
    <t>3402758110</t>
  </si>
  <si>
    <t>Perth Amboy</t>
  </si>
  <si>
    <t>3402358200</t>
  </si>
  <si>
    <t>Se Salio de Pollo</t>
  </si>
  <si>
    <t>Phillipsburg</t>
  </si>
  <si>
    <t>3404158350</t>
  </si>
  <si>
    <t>Amasi Restaurant</t>
  </si>
  <si>
    <t>Pilesgrove</t>
  </si>
  <si>
    <t>3403358530</t>
  </si>
  <si>
    <t>Cowtown Rodeo</t>
  </si>
  <si>
    <t>Pine Beach</t>
  </si>
  <si>
    <t>3402958590</t>
  </si>
  <si>
    <t>Roy Rogers</t>
  </si>
  <si>
    <t>NJ Town #125: Pine Beach</t>
  </si>
  <si>
    <t>https://www.instagram.com/p/DR2SfdwkZFV/</t>
  </si>
  <si>
    <t>NJ Town #125: Bonus Town Trivia</t>
  </si>
  <si>
    <t>https://www.facebook.com/reel/715304104525377</t>
  </si>
  <si>
    <t>https://www.facebook.com/permalink.php?story_fbid=pfbid02dSy8sDqV3KRKrcmMfT7s4QQSUhCRnP12C83dMQzEwsjnDrC7SD24WJSTw49wZ1Vl&amp;id=61569640546791</t>
  </si>
  <si>
    <t>Town #125</t>
  </si>
  <si>
    <t>Town #125 - Bonus Town Trivia</t>
  </si>
  <si>
    <t>https://www.instagram.com/p/DSIXszrEXxo/?img_index=1</t>
  </si>
  <si>
    <t>Pine Hill</t>
  </si>
  <si>
    <t>3400758770</t>
  </si>
  <si>
    <t>Piscataway</t>
  </si>
  <si>
    <t>3402359010</t>
  </si>
  <si>
    <t>Boodle Fight @ Pye's House</t>
  </si>
  <si>
    <t>Pitman</t>
  </si>
  <si>
    <t>3401559070</t>
  </si>
  <si>
    <t>Pittsgrove</t>
  </si>
  <si>
    <t>3403359130</t>
  </si>
  <si>
    <t>Plainfield</t>
  </si>
  <si>
    <t>3403959190</t>
  </si>
  <si>
    <t>Plainsboro</t>
  </si>
  <si>
    <t>3402359280</t>
  </si>
  <si>
    <t>Ruth's Chris - Mandi/Christine Birthday</t>
  </si>
  <si>
    <t>Pleasantville</t>
  </si>
  <si>
    <t>3400159640</t>
  </si>
  <si>
    <t>Plumsted</t>
  </si>
  <si>
    <t>3402959790</t>
  </si>
  <si>
    <t>Laurita Winery</t>
  </si>
  <si>
    <t>Pohatcong</t>
  </si>
  <si>
    <t>3404159820</t>
  </si>
  <si>
    <t>Dunkin Donuts</t>
  </si>
  <si>
    <t>Point Pleasant</t>
  </si>
  <si>
    <t>3402959880</t>
  </si>
  <si>
    <t>Tacoholics</t>
  </si>
  <si>
    <t>NJ Town #101: Point Pleasant Boro</t>
  </si>
  <si>
    <t>https://www.instagram.com/p/DFIsQgHRPJ9/</t>
  </si>
  <si>
    <t>https://www.facebook.com/reel/1120284442713116</t>
  </si>
  <si>
    <t>Town #101</t>
  </si>
  <si>
    <t>Point Pleasant Beach</t>
  </si>
  <si>
    <t>3402959910</t>
  </si>
  <si>
    <t>The Shrimp Box</t>
  </si>
  <si>
    <t>Pompton Lakes</t>
  </si>
  <si>
    <t>3403160090</t>
  </si>
  <si>
    <t>Port Republic</t>
  </si>
  <si>
    <t>3400160600</t>
  </si>
  <si>
    <t>Princeton</t>
  </si>
  <si>
    <t>3402160900</t>
  </si>
  <si>
    <t>Nomad Pizza</t>
  </si>
  <si>
    <t>Prospect Park</t>
  </si>
  <si>
    <t>3403161170</t>
  </si>
  <si>
    <t>Quinton</t>
  </si>
  <si>
    <t>3403361470</t>
  </si>
  <si>
    <t>Comfort Cafe &amp; Bistro</t>
  </si>
  <si>
    <t>Rahway</t>
  </si>
  <si>
    <t>3403961530</t>
  </si>
  <si>
    <t>Ramsey</t>
  </si>
  <si>
    <t>3400361680</t>
  </si>
  <si>
    <t>Varka Restaurant</t>
  </si>
  <si>
    <t>2024-07-14</t>
  </si>
  <si>
    <t>Randolph</t>
  </si>
  <si>
    <t>3402761890</t>
  </si>
  <si>
    <t>Raritan</t>
  </si>
  <si>
    <t>3401961920</t>
  </si>
  <si>
    <t>Flemington-Raritan Diner</t>
  </si>
  <si>
    <t>https://en.wikipedia.org/wiki/Raritan_Township,_Hunterdon_County,_New_Jersey</t>
  </si>
  <si>
    <t>NJ Town #106: Raritan Township (Hunterdon County)</t>
  </si>
  <si>
    <t>https://www.instagram.com/p/DGOlCNwx4Om/?img_index=1</t>
  </si>
  <si>
    <t>https://www.facebook.com/permalink.php?story_fbid=pfbid03z5cC2GfkKPNUsJGCNvh9naAqsEBeWpBB9TLsbhYkXggPpmJMHC71qUPGCjJyemol&amp;id=61569640546791</t>
  </si>
  <si>
    <t>Town #106</t>
  </si>
  <si>
    <t>3403561980</t>
  </si>
  <si>
    <t>Char</t>
  </si>
  <si>
    <t>https://en.wikipedia.org/wiki/Raritan,_Somerset_County,_New_Jersey</t>
  </si>
  <si>
    <t>Readington</t>
  </si>
  <si>
    <t>3401962250</t>
  </si>
  <si>
    <t>June's Tuttobene Restaurant</t>
  </si>
  <si>
    <t>Junes Tuttobene Italian Restaurant</t>
  </si>
  <si>
    <t>https://www.instagram.com/reel/DN0dg8a4tIR/</t>
  </si>
  <si>
    <t>Red Bank</t>
  </si>
  <si>
    <t>3402562430</t>
  </si>
  <si>
    <t>Char Steakhouse</t>
  </si>
  <si>
    <t>Ridgefield</t>
  </si>
  <si>
    <t>3400362910</t>
  </si>
  <si>
    <t>Ridgefield Park</t>
  </si>
  <si>
    <t>3400362940</t>
  </si>
  <si>
    <t>Ridgewood</t>
  </si>
  <si>
    <t>3400363000</t>
  </si>
  <si>
    <t>Ringwood</t>
  </si>
  <si>
    <t>3403163150</t>
  </si>
  <si>
    <t>Lakeside Diner</t>
  </si>
  <si>
    <t>River Edge</t>
  </si>
  <si>
    <t>3400363360</t>
  </si>
  <si>
    <t>River Vale</t>
  </si>
  <si>
    <t>3400363690</t>
  </si>
  <si>
    <t>Riverdale</t>
  </si>
  <si>
    <t>3402763300</t>
  </si>
  <si>
    <t>Riverside</t>
  </si>
  <si>
    <t>3400563510</t>
  </si>
  <si>
    <t>Riverton</t>
  </si>
  <si>
    <t>3400563660</t>
  </si>
  <si>
    <t>The Early Bird</t>
  </si>
  <si>
    <t>Robbinsville</t>
  </si>
  <si>
    <t>3402163850</t>
  </si>
  <si>
    <t>Papa's Tomato Pies</t>
  </si>
  <si>
    <t>Rochelle Park</t>
  </si>
  <si>
    <t>3400363990</t>
  </si>
  <si>
    <t>Rockaway</t>
  </si>
  <si>
    <t>3402764050</t>
  </si>
  <si>
    <t>3402764080</t>
  </si>
  <si>
    <t>Rockleigh</t>
  </si>
  <si>
    <t>3400364170</t>
  </si>
  <si>
    <t>Rocky Hill</t>
  </si>
  <si>
    <t>3403564320</t>
  </si>
  <si>
    <t>Roosevelt</t>
  </si>
  <si>
    <t>3402564410</t>
  </si>
  <si>
    <t>Roseland</t>
  </si>
  <si>
    <t>3401364590</t>
  </si>
  <si>
    <t>Roselle</t>
  </si>
  <si>
    <t>3403964620</t>
  </si>
  <si>
    <t>Roselle Park</t>
  </si>
  <si>
    <t>3403964650</t>
  </si>
  <si>
    <t>House 157</t>
  </si>
  <si>
    <t>Roxbury</t>
  </si>
  <si>
    <t>3402764980</t>
  </si>
  <si>
    <t>Rumson</t>
  </si>
  <si>
    <t>3402565130</t>
  </si>
  <si>
    <t>The French Market</t>
  </si>
  <si>
    <t>NJ Town #108: Rumson</t>
  </si>
  <si>
    <t>https://www.instagram.com/p/DG3595cRolx/</t>
  </si>
  <si>
    <t>Town #108</t>
  </si>
  <si>
    <t>Runnemede</t>
  </si>
  <si>
    <t>3400765160</t>
  </si>
  <si>
    <t>Rutherford</t>
  </si>
  <si>
    <t>3400365280</t>
  </si>
  <si>
    <t>Sonoma Bistro</t>
  </si>
  <si>
    <t>2025-01-04</t>
  </si>
  <si>
    <t>Saddle Brook</t>
  </si>
  <si>
    <t>3400365340</t>
  </si>
  <si>
    <t>Saddle River</t>
  </si>
  <si>
    <t>3400365400</t>
  </si>
  <si>
    <t>3403365490</t>
  </si>
  <si>
    <t>Salem Oak Diner</t>
  </si>
  <si>
    <t>Sandyston</t>
  </si>
  <si>
    <t>3403765700</t>
  </si>
  <si>
    <t>Hainesville General Store</t>
  </si>
  <si>
    <t>Sayreville</t>
  </si>
  <si>
    <t>3402365790</t>
  </si>
  <si>
    <t>Costa Verde - Lunch Pye &amp; Sean</t>
  </si>
  <si>
    <t>Scotch Plains</t>
  </si>
  <si>
    <t>3403966060</t>
  </si>
  <si>
    <t>Stage House Tavern</t>
  </si>
  <si>
    <t>Sea Bright</t>
  </si>
  <si>
    <t>3402566240</t>
  </si>
  <si>
    <t>Rum Runner</t>
  </si>
  <si>
    <t>Sea Girt</t>
  </si>
  <si>
    <t>3402566330</t>
  </si>
  <si>
    <t>The Parker House</t>
  </si>
  <si>
    <t>Sea Isle City</t>
  </si>
  <si>
    <t>3400966390</t>
  </si>
  <si>
    <t>Sunset Pier Restaurant &amp; Juice Bar</t>
  </si>
  <si>
    <t>Sunset Pier</t>
  </si>
  <si>
    <t>https://sunsetpiersic.com/</t>
  </si>
  <si>
    <t>Seaside Heights</t>
  </si>
  <si>
    <t>3402966450</t>
  </si>
  <si>
    <t>Seaside Park</t>
  </si>
  <si>
    <t>3402966480</t>
  </si>
  <si>
    <t>The Sawmill</t>
  </si>
  <si>
    <t>Secaucus</t>
  </si>
  <si>
    <t>3401766570</t>
  </si>
  <si>
    <t>Legends Diner</t>
  </si>
  <si>
    <t>Shamong</t>
  </si>
  <si>
    <t>3400566810</t>
  </si>
  <si>
    <t>Shiloh</t>
  </si>
  <si>
    <t>3401167020</t>
  </si>
  <si>
    <t>Shiloh Market</t>
  </si>
  <si>
    <t>Ship Bottom</t>
  </si>
  <si>
    <t>3402967110</t>
  </si>
  <si>
    <t>LBI Table</t>
  </si>
  <si>
    <t>Shrewsbury</t>
  </si>
  <si>
    <t>3402567350</t>
  </si>
  <si>
    <t>3402567365</t>
  </si>
  <si>
    <t>Somerdale</t>
  </si>
  <si>
    <t>3400768340</t>
  </si>
  <si>
    <t>Somers Point</t>
  </si>
  <si>
    <t>3400168430</t>
  </si>
  <si>
    <t>Manco &amp; Manco</t>
  </si>
  <si>
    <t>Manco and Manco</t>
  </si>
  <si>
    <t>https://mancospizza.com/</t>
  </si>
  <si>
    <t>Somerville</t>
  </si>
  <si>
    <t>3403568460</t>
  </si>
  <si>
    <t>Salted Lime</t>
  </si>
  <si>
    <t>South Amboy</t>
  </si>
  <si>
    <t>3402368550</t>
  </si>
  <si>
    <t>Raise The Bar</t>
  </si>
  <si>
    <t>NJ Town #92: South Amboy</t>
  </si>
  <si>
    <t>https://www.instagram.com/p/DDuUI-IxkHG/</t>
  </si>
  <si>
    <t>Town #92</t>
  </si>
  <si>
    <t>South Bound Brook</t>
  </si>
  <si>
    <t>3403568730</t>
  </si>
  <si>
    <t>Ovations</t>
  </si>
  <si>
    <t>South Brunswick</t>
  </si>
  <si>
    <t>3402368790</t>
  </si>
  <si>
    <t>Eno Terra Restaurant and Enoteca</t>
  </si>
  <si>
    <t>South Hackensack</t>
  </si>
  <si>
    <t>3400368970</t>
  </si>
  <si>
    <t>South Harrison</t>
  </si>
  <si>
    <t>3401569030</t>
  </si>
  <si>
    <t>South Orange Village</t>
  </si>
  <si>
    <t>3401369274</t>
  </si>
  <si>
    <t>South Plainfield</t>
  </si>
  <si>
    <t>3402369390</t>
  </si>
  <si>
    <t>Panda Express</t>
  </si>
  <si>
    <t>South River</t>
  </si>
  <si>
    <t>3402369420</t>
  </si>
  <si>
    <t>The Portuguese Fisherman</t>
  </si>
  <si>
    <t>NJ Town #126: South River</t>
  </si>
  <si>
    <t>https://www.instagram.com/p/DTVl0cWkdY0/</t>
  </si>
  <si>
    <t>NJ Town #126: Bonus Town Trivia</t>
  </si>
  <si>
    <t>https://www.instagram.com/p/DT-smhOEV3T/</t>
  </si>
  <si>
    <t>Town #126</t>
  </si>
  <si>
    <t>Town #126 - Bonus Town Trivia</t>
  </si>
  <si>
    <t>https://www.instagram.com/p/DT-smhOEV3T/?img_index=1</t>
  </si>
  <si>
    <t>South Toms River</t>
  </si>
  <si>
    <t>3402969510</t>
  </si>
  <si>
    <t>And It's Good Stuff</t>
  </si>
  <si>
    <t>Southampton</t>
  </si>
  <si>
    <t>3400568610</t>
  </si>
  <si>
    <t>Vincetown Diner</t>
  </si>
  <si>
    <t>Sparta</t>
  </si>
  <si>
    <t>3403769690</t>
  </si>
  <si>
    <t>il Porto on Lake Mohawk</t>
  </si>
  <si>
    <t>NJ Town #127: Sparta</t>
  </si>
  <si>
    <t>https://www.instagram.com/p/DVBriqhETIi/</t>
  </si>
  <si>
    <t>NJ Town #127: Bonus Town Trivia</t>
  </si>
  <si>
    <t>https://www.instagram.com/p/DVUJ7vqEbeQ/?img_index=1</t>
  </si>
  <si>
    <t>https://www.facebook.com/reel/2103835743742891</t>
  </si>
  <si>
    <t>https://www.threads.com/@eatjerseychallenge/post/DVBrshREQY4?xmt=AQF0A3RKVhri8cemX6Ysm7aMqQ_Y1_cfqPJqQUWGxT99MQ</t>
  </si>
  <si>
    <t>https://www.facebook.com/permalink.php?story_fbid=pfbid02K54x1dkR45WLASLhGaRmc8CEv9vtwFPbTbUUZiDig5BKhZmAifGy6khSH62CiFG4l&amp;id=61569640546791</t>
  </si>
  <si>
    <t>Spotswood</t>
  </si>
  <si>
    <t>3402369810</t>
  </si>
  <si>
    <t>MJ's Bar &amp; Grill</t>
  </si>
  <si>
    <t>Spring Lake</t>
  </si>
  <si>
    <t>3402570110</t>
  </si>
  <si>
    <t>Spring Lake Heights</t>
  </si>
  <si>
    <t>3402570140</t>
  </si>
  <si>
    <t>Spring Lake Manor - Family Wedding</t>
  </si>
  <si>
    <t>Springfield</t>
  </si>
  <si>
    <t>3400569990</t>
  </si>
  <si>
    <t>Pandora Diner</t>
  </si>
  <si>
    <t>https://en.wikipedia.org/wiki/Springfield_Township,_Burlington_County,_New_Jersey</t>
  </si>
  <si>
    <t>3403970020</t>
  </si>
  <si>
    <t>https://en.wikipedia.org/wiki/Springfield_Township,_Union_County,_New_Jersey</t>
  </si>
  <si>
    <t>Stafford</t>
  </si>
  <si>
    <t>3402970320</t>
  </si>
  <si>
    <t>Stanhope</t>
  </si>
  <si>
    <t>3403770380</t>
  </si>
  <si>
    <t>Stillwater</t>
  </si>
  <si>
    <t>3403770890</t>
  </si>
  <si>
    <t>Stillwater Cafe</t>
  </si>
  <si>
    <t>Stockton</t>
  </si>
  <si>
    <t>3401970980</t>
  </si>
  <si>
    <t>Stone Harbor</t>
  </si>
  <si>
    <t>3400971010</t>
  </si>
  <si>
    <t>Stow Creek</t>
  </si>
  <si>
    <t>3401171160</t>
  </si>
  <si>
    <t>Stow Creek Landing (Picnic)</t>
  </si>
  <si>
    <t>Stratford</t>
  </si>
  <si>
    <t>3400771220</t>
  </si>
  <si>
    <t>Summit</t>
  </si>
  <si>
    <t>3403971430</t>
  </si>
  <si>
    <t>Surf City</t>
  </si>
  <si>
    <t>3402971640</t>
  </si>
  <si>
    <t>3403771670</t>
  </si>
  <si>
    <t>Sasha's Famous Empanadas</t>
  </si>
  <si>
    <t>Swedesboro</t>
  </si>
  <si>
    <t>3401571850</t>
  </si>
  <si>
    <t>Hens &amp; Honey</t>
  </si>
  <si>
    <t>Tabernacle</t>
  </si>
  <si>
    <t>3400572060</t>
  </si>
  <si>
    <t>The Village Pub &amp; Package Goods</t>
  </si>
  <si>
    <t>Tavistock</t>
  </si>
  <si>
    <t>3400772240</t>
  </si>
  <si>
    <t>Teaneck</t>
  </si>
  <si>
    <t>3400372360</t>
  </si>
  <si>
    <t>Tenafly</t>
  </si>
  <si>
    <t>3400372420</t>
  </si>
  <si>
    <t>Teterboro</t>
  </si>
  <si>
    <t>3400372480</t>
  </si>
  <si>
    <t>Tewksbury</t>
  </si>
  <si>
    <t>3401972510</t>
  </si>
  <si>
    <t>Oldwick General Store</t>
  </si>
  <si>
    <t>Tinton Falls</t>
  </si>
  <si>
    <t>3402573020</t>
  </si>
  <si>
    <t>Jersey Shore Outlets Food Court</t>
  </si>
  <si>
    <t>Toms River</t>
  </si>
  <si>
    <t>3402973125</t>
  </si>
  <si>
    <t>Villa Amalfi</t>
  </si>
  <si>
    <t>Totowa</t>
  </si>
  <si>
    <t>3403173140</t>
  </si>
  <si>
    <t>Trenton</t>
  </si>
  <si>
    <t>3402174000</t>
  </si>
  <si>
    <t>Cooper's Riverview</t>
  </si>
  <si>
    <t>NJ Town #97: Trenton</t>
  </si>
  <si>
    <t>https://www.instagram.com/p/DEyDW4nxqnD/?img_index=1</t>
  </si>
  <si>
    <t>https://www.facebook.com/permalink.php?story_fbid=pfbid0342hV1CwqKyY46gYLJn5CtCiPhrWvHBiJVRGfxSj6Mw5LkwJfioKeyaga3XZFRuEUl&amp;id=61569640546791</t>
  </si>
  <si>
    <t>Town #97</t>
  </si>
  <si>
    <t>Tuckerton</t>
  </si>
  <si>
    <t>3402974210</t>
  </si>
  <si>
    <t>Dockside Cafe</t>
  </si>
  <si>
    <t>3401974420</t>
  </si>
  <si>
    <t>Clinton Station Diner</t>
  </si>
  <si>
    <t>https://en.wikipedia.org/wiki/Union_Township,_Hunterdon_County,_New_Jersey</t>
  </si>
  <si>
    <t>NJ Town #121 - Union Township (Hunterdon County)</t>
  </si>
  <si>
    <t>Bonus Town Trivia</t>
  </si>
  <si>
    <t>https://www.instagram.com/p/DOOz5AaEVfq/?img_index=1</t>
  </si>
  <si>
    <t>https://www.facebook.com/permalink.php?story_fbid=pfbid0KZuEYMu5aNCao9mesuW6SzP9afJsdC2odhzVLb2G3nGsfoTbo2KPrrqSULzASKhQl&amp;id=61569640546791</t>
  </si>
  <si>
    <t>3403974480</t>
  </si>
  <si>
    <t>Peruvian Flavors</t>
  </si>
  <si>
    <t>https://en.wikipedia.org/wiki/Union_Township,_Union_County,_New_Jersey</t>
  </si>
  <si>
    <t>NJ Town #120: Union</t>
  </si>
  <si>
    <t>https://www.instagram.com/p/DMp00ITR77n/</t>
  </si>
  <si>
    <t>NJ Town #120: Bonus Town Trivia</t>
  </si>
  <si>
    <t>https://www.instagram.com/p/DM-9HJSxuFF/</t>
  </si>
  <si>
    <t>Town #120</t>
  </si>
  <si>
    <t>Town #120 - Bonus Town Trivia</t>
  </si>
  <si>
    <t>https://www.instagram.com/p/DM-9HJSxuFF/?img_index=1</t>
  </si>
  <si>
    <t>Union Beach</t>
  </si>
  <si>
    <t>3402574540</t>
  </si>
  <si>
    <t>Jakeabobs</t>
  </si>
  <si>
    <t>Union City</t>
  </si>
  <si>
    <t>3401774630</t>
  </si>
  <si>
    <t>El Artesano Restaurant</t>
  </si>
  <si>
    <t>Upper</t>
  </si>
  <si>
    <t>3400974810</t>
  </si>
  <si>
    <t>The Deauville Inn</t>
  </si>
  <si>
    <t>https://deauvilleinn.com/</t>
  </si>
  <si>
    <t>Upper Deerfield</t>
  </si>
  <si>
    <t>3401174870</t>
  </si>
  <si>
    <t>Golden Pigeon Diner</t>
  </si>
  <si>
    <t>Upper Freehold</t>
  </si>
  <si>
    <t>3402574900</t>
  </si>
  <si>
    <t>Happy Apple Inn</t>
  </si>
  <si>
    <t>https://www.happyappleinn.com/</t>
  </si>
  <si>
    <t>Upper Pittsgrove</t>
  </si>
  <si>
    <t>3403375110</t>
  </si>
  <si>
    <t>Upper Saddle River</t>
  </si>
  <si>
    <t>3400375140</t>
  </si>
  <si>
    <t>Elmer's Deli Grill &amp; Pizza</t>
  </si>
  <si>
    <t>2024-10-14</t>
  </si>
  <si>
    <t>Ventnor City</t>
  </si>
  <si>
    <t>3400175620</t>
  </si>
  <si>
    <t>Vernon</t>
  </si>
  <si>
    <t>3403775740</t>
  </si>
  <si>
    <t>Verona</t>
  </si>
  <si>
    <t>3401375815</t>
  </si>
  <si>
    <t>Victory Gardens</t>
  </si>
  <si>
    <t>3402775890</t>
  </si>
  <si>
    <t>Vineland</t>
  </si>
  <si>
    <t>3401176070</t>
  </si>
  <si>
    <t>El Cilantro Mexican Restaurant</t>
  </si>
  <si>
    <t>Voorhees</t>
  </si>
  <si>
    <t>3400776220</t>
  </si>
  <si>
    <t>Waldwick</t>
  </si>
  <si>
    <t>3400376400</t>
  </si>
  <si>
    <t>Wall</t>
  </si>
  <si>
    <t>3402576460</t>
  </si>
  <si>
    <t>Roadside Diner</t>
  </si>
  <si>
    <t>Wallington</t>
  </si>
  <si>
    <t>3400376490</t>
  </si>
  <si>
    <t>Walpack</t>
  </si>
  <si>
    <t>3403776640</t>
  </si>
  <si>
    <t>Walpack Inn</t>
  </si>
  <si>
    <t>Wanaque</t>
  </si>
  <si>
    <t>3403176730</t>
  </si>
  <si>
    <t>Wantage</t>
  </si>
  <si>
    <t>3403776790</t>
  </si>
  <si>
    <t>Sussex Sit n Chat Diner</t>
  </si>
  <si>
    <t>3403576940</t>
  </si>
  <si>
    <t>Uproot</t>
  </si>
  <si>
    <t>Washington</t>
  </si>
  <si>
    <t>3400377135</t>
  </si>
  <si>
    <t>https://en.wikipedia.org/wiki/Washington_Township,_Bergen_County,_New_Jersey</t>
  </si>
  <si>
    <t>3400577150</t>
  </si>
  <si>
    <t>JB's Lunch Box</t>
  </si>
  <si>
    <t>https://en.wikipedia.org/wiki/Washington_Township,_Burlington_County,_New_Jersey</t>
  </si>
  <si>
    <t>3401577180</t>
  </si>
  <si>
    <t>First Watch</t>
  </si>
  <si>
    <t>https://en.wikipedia.org/wiki/Washington_Township,_Gloucester_County,_New_Jersey</t>
  </si>
  <si>
    <t>3402777240</t>
  </si>
  <si>
    <t>https://en.wikipedia.org/wiki/Washington_Township,_Morris_County,_New_Jersey</t>
  </si>
  <si>
    <t>3404177270</t>
  </si>
  <si>
    <t>Le Crepe Cafe</t>
  </si>
  <si>
    <t>https://en.wikipedia.org/wiki/Washington,_Warren_County,_New_Jersey</t>
  </si>
  <si>
    <t>3404177300</t>
  </si>
  <si>
    <t>https://en.wikipedia.org/wiki/Washington_Township,_Warren_County,_New_Jersey</t>
  </si>
  <si>
    <t>Watchung</t>
  </si>
  <si>
    <t>3403577600</t>
  </si>
  <si>
    <t>POURtuga</t>
  </si>
  <si>
    <t>NJ Town #94: Watchung</t>
  </si>
  <si>
    <t>https://www.instagram.com/p/DEbcy5JxUk6/</t>
  </si>
  <si>
    <t>Town #94</t>
  </si>
  <si>
    <t>https://www.instagram.com/p/DEbcy5JxUk6/?img_index=1</t>
  </si>
  <si>
    <t>Waterford</t>
  </si>
  <si>
    <t>3400777630</t>
  </si>
  <si>
    <t>Wayne</t>
  </si>
  <si>
    <t>3403177840</t>
  </si>
  <si>
    <t>Weehawken</t>
  </si>
  <si>
    <t>3401777930</t>
  </si>
  <si>
    <t>The Chart House</t>
  </si>
  <si>
    <t>Wenonah</t>
  </si>
  <si>
    <t>3401578110</t>
  </si>
  <si>
    <t>West Amwell</t>
  </si>
  <si>
    <t>3401978230</t>
  </si>
  <si>
    <t>Amwell Valley Diner</t>
  </si>
  <si>
    <t>West Caldwell</t>
  </si>
  <si>
    <t>3401378510</t>
  </si>
  <si>
    <t>West Cape May</t>
  </si>
  <si>
    <t>3400978530</t>
  </si>
  <si>
    <t>West Deptford</t>
  </si>
  <si>
    <t>3401578800</t>
  </si>
  <si>
    <t>West Long Branch</t>
  </si>
  <si>
    <t>3402579310</t>
  </si>
  <si>
    <t>Mizu Sushi &amp; Steakhouse</t>
  </si>
  <si>
    <t>West Milford</t>
  </si>
  <si>
    <t>3403179460</t>
  </si>
  <si>
    <t>D'Boathaus</t>
  </si>
  <si>
    <t>West New York</t>
  </si>
  <si>
    <t>3401779610</t>
  </si>
  <si>
    <t>Las Palmas</t>
  </si>
  <si>
    <t>West Orange</t>
  </si>
  <si>
    <t>3401379800</t>
  </si>
  <si>
    <t>McLoone's Boathouse</t>
  </si>
  <si>
    <t>West Wildwood</t>
  </si>
  <si>
    <t>3400980210</t>
  </si>
  <si>
    <t>West Windsor</t>
  </si>
  <si>
    <t>3402180240</t>
  </si>
  <si>
    <t>Penang</t>
  </si>
  <si>
    <t>Westampton</t>
  </si>
  <si>
    <t>3400578200</t>
  </si>
  <si>
    <t>The Q Spot</t>
  </si>
  <si>
    <t>Westfield</t>
  </si>
  <si>
    <t>3403979040</t>
  </si>
  <si>
    <t>Westville</t>
  </si>
  <si>
    <t>3401580120</t>
  </si>
  <si>
    <t>Westwood</t>
  </si>
  <si>
    <t>3400380270</t>
  </si>
  <si>
    <t>Weymouth</t>
  </si>
  <si>
    <t>3400180330</t>
  </si>
  <si>
    <t>Wharton</t>
  </si>
  <si>
    <t>3402780390</t>
  </si>
  <si>
    <t>White</t>
  </si>
  <si>
    <t>3404180570</t>
  </si>
  <si>
    <t>Hot Dog Johnny's</t>
  </si>
  <si>
    <t>Wildwood</t>
  </si>
  <si>
    <t>3400981170</t>
  </si>
  <si>
    <t>Mack's Pizza</t>
  </si>
  <si>
    <t>Wildwood Crest</t>
  </si>
  <si>
    <t>3400981200</t>
  </si>
  <si>
    <t>Willingboro</t>
  </si>
  <si>
    <t>3400581440</t>
  </si>
  <si>
    <t>EFENDY Turkish Restaurant</t>
  </si>
  <si>
    <t>NJ Town #88: Willingboro</t>
  </si>
  <si>
    <t>https://www.instagram.com/p/DCxn3puxCkK/?img_index=1</t>
  </si>
  <si>
    <t>https://www.facebook.com/permalink.php?story_fbid=pfbid0342NUrbgWYHmCaFQdN33ETkFzJ84LczVowMjBpdLKR24gFAx5FrcqmS9ftuHZrPTAl&amp;id=61569640546791</t>
  </si>
  <si>
    <t>Town #88</t>
  </si>
  <si>
    <t>Winfield</t>
  </si>
  <si>
    <t>3403981650</t>
  </si>
  <si>
    <t>Winslow</t>
  </si>
  <si>
    <t>3400781740</t>
  </si>
  <si>
    <t>Wood-Ridge</t>
  </si>
  <si>
    <t>3400382570</t>
  </si>
  <si>
    <t>Woodbine</t>
  </si>
  <si>
    <t>3400981890</t>
  </si>
  <si>
    <t>Woodbridge</t>
  </si>
  <si>
    <t>3402382000</t>
  </si>
  <si>
    <t>Jose Tejas</t>
  </si>
  <si>
    <t>Woodbury</t>
  </si>
  <si>
    <t>3401582120</t>
  </si>
  <si>
    <t>The Colonial Diner</t>
  </si>
  <si>
    <t>Woodbury Heights</t>
  </si>
  <si>
    <t>3401582180</t>
  </si>
  <si>
    <t>The Hollywood Diner and Bar</t>
  </si>
  <si>
    <t>Woodcliff Lake</t>
  </si>
  <si>
    <t>3400382300</t>
  </si>
  <si>
    <t>Woodland</t>
  </si>
  <si>
    <t>3400582420</t>
  </si>
  <si>
    <t>Buzby's Eatery &amp; General Store</t>
  </si>
  <si>
    <t>Woodland Park</t>
  </si>
  <si>
    <t>3403182423</t>
  </si>
  <si>
    <t>Woodlynne</t>
  </si>
  <si>
    <t>3400782450</t>
  </si>
  <si>
    <t>Food Reyes</t>
  </si>
  <si>
    <t>2025-04-21</t>
  </si>
  <si>
    <t>Woodstown</t>
  </si>
  <si>
    <t>3403382720</t>
  </si>
  <si>
    <t>Woodstown Diner</t>
  </si>
  <si>
    <t>Woolwich</t>
  </si>
  <si>
    <t>3401582840</t>
  </si>
  <si>
    <t>Dunkin' Donuts</t>
  </si>
  <si>
    <t>Wrightstown</t>
  </si>
  <si>
    <t>3400582960</t>
  </si>
  <si>
    <t>Wyckoff</t>
  </si>
  <si>
    <t>3400383050</t>
  </si>
  <si>
    <t>EAT JERSEY CHALLENGE — Statewide Progress</t>
  </si>
  <si>
    <t>Total Towns</t>
  </si>
  <si>
    <t>Visited</t>
  </si>
  <si>
    <t>To Go</t>
  </si>
  <si>
    <t>% Complete</t>
  </si>
  <si>
    <t>County</t>
  </si>
  <si>
    <t>Atlantic County</t>
  </si>
  <si>
    <t>Bergen County</t>
  </si>
  <si>
    <t>Burlington County</t>
  </si>
  <si>
    <t>Camden County</t>
  </si>
  <si>
    <t>Cape May County</t>
  </si>
  <si>
    <t>Cumberland County</t>
  </si>
  <si>
    <t>Essex County</t>
  </si>
  <si>
    <t>Gloucester County</t>
  </si>
  <si>
    <t>Hudson County</t>
  </si>
  <si>
    <t>Hunterdon County</t>
  </si>
  <si>
    <t>Mercer County</t>
  </si>
  <si>
    <t>Middlesex County</t>
  </si>
  <si>
    <t>Monmouth County</t>
  </si>
  <si>
    <t>Morris County</t>
  </si>
  <si>
    <t>Ocean County</t>
  </si>
  <si>
    <t>Passaic County</t>
  </si>
  <si>
    <t>Salem County</t>
  </si>
  <si>
    <t>Somerset County</t>
  </si>
  <si>
    <t>Sussex County</t>
  </si>
  <si>
    <t>Union County</t>
  </si>
  <si>
    <t>Warren County</t>
  </si>
  <si>
    <t>Column Reference — Eat Jersey Challenge Data Sheet</t>
  </si>
  <si>
    <t>Status Values</t>
  </si>
  <si>
    <t>Town not yet visited</t>
  </si>
  <si>
    <t>Visited AND social posts are published</t>
  </si>
  <si>
    <t>Visited, but posts not yet published (shows as visited on map)</t>
  </si>
  <si>
    <t>Visited before the challenge started (shows as visited on map)</t>
  </si>
  <si>
    <t>Sheet Guide</t>
  </si>
  <si>
    <t>Data</t>
  </si>
  <si>
    <t>Master data sheet — this is the one you export to CSV for import</t>
  </si>
  <si>
    <t>Summary</t>
  </si>
  <si>
    <t>Statewide progress: totals + per-county breakdown. AUTO-UPDATES as you edit the Data sheet.</t>
  </si>
  <si>
    <t>&lt;County name&gt;</t>
  </si>
  <si>
    <t>One sheet per NJ county. Stat boxes (Total/Visited/To Go) auto-update via COUNTIFS. Town rows use =FILTER() from the Data sheet — fully dynamic in Excel 365. Requires xlwings for generation.</t>
  </si>
  <si>
    <t>Legend</t>
  </si>
  <si>
    <t>This reference sheet</t>
  </si>
  <si>
    <t>Note</t>
  </si>
  <si>
    <t>Re-run gen-template only after npm run import (bulk CSV load) or if column structure changes</t>
  </si>
  <si>
    <t>To export: have the Data sheet active → File → Save As → CSV</t>
  </si>
  <si>
    <t>All Columns</t>
  </si>
  <si>
    <t>22 chars</t>
  </si>
  <si>
    <t>Municipality name, e.g. Absecon  [REQUIRED if no geoid]</t>
  </si>
  <si>
    <t>16 chars</t>
  </si>
  <si>
    <t>County name, e.g. Atlantic  [used to disambiguate duplicate names]</t>
  </si>
  <si>
    <t>10-digit GEOID from GeoJSON  [optional — preferred over name lookup]</t>
  </si>
  <si>
    <t>14 chars</t>
  </si>
  <si>
    <t>Auto-derived from GeoJSON; one of: city | borough | township | town | village</t>
  </si>
  <si>
    <t>18 chars</t>
  </si>
  <si>
    <t>One of: unvisited | visited | queued | pre-challenge</t>
  </si>
  <si>
    <t>Order visited on the journey, 1–564</t>
  </si>
  <si>
    <t>28 chars</t>
  </si>
  <si>
    <t>Primary restaurant / business visited</t>
  </si>
  <si>
    <t>Date visited, formatted YYYY-MM-DD</t>
  </si>
  <si>
    <t>26 chars</t>
  </si>
  <si>
    <t>Display text for restaurant link  (defaults to restaurantName)</t>
  </si>
  <si>
    <t>40 chars</t>
  </si>
  <si>
    <t>URL to restaurant website or social page</t>
  </si>
  <si>
    <t>URL to the municipality's Wikipedia article</t>
  </si>
  <si>
    <t>Description of Instagram post 1</t>
  </si>
  <si>
    <t>URL to Instagram post 1</t>
  </si>
  <si>
    <t>Description of Instagram post 2</t>
  </si>
  <si>
    <t>URL to Instagram post 2</t>
  </si>
  <si>
    <t>Description of Tiktok post 1</t>
  </si>
  <si>
    <t>URL to Tiktok post 1</t>
  </si>
  <si>
    <t>Description of Tiktok post 2</t>
  </si>
  <si>
    <t>URL to Tiktok post 2</t>
  </si>
  <si>
    <t>Description of Youtube post 1</t>
  </si>
  <si>
    <t>URL to Youtube post 1</t>
  </si>
  <si>
    <t>Description of Youtube post 2</t>
  </si>
  <si>
    <t>URL to Youtube post 2</t>
  </si>
  <si>
    <t>Description of Threads post 1</t>
  </si>
  <si>
    <t>URL to Threads post 1</t>
  </si>
  <si>
    <t>Description of Threads post 2</t>
  </si>
  <si>
    <t>URL to Threads post 2</t>
  </si>
  <si>
    <t>Description of Bluesky post 1</t>
  </si>
  <si>
    <t>URL to Bluesky post 1</t>
  </si>
  <si>
    <t>Description of Bluesky post 2</t>
  </si>
  <si>
    <t>URL to Bluesky post 2</t>
  </si>
  <si>
    <t>Description of Facebook post 1</t>
  </si>
  <si>
    <t>URL to Facebook post 1</t>
  </si>
  <si>
    <t>Description of Facebook post 2</t>
  </si>
  <si>
    <t>URL to Facebook post 2</t>
  </si>
  <si>
    <t>Category: restaurant | wikipedia | social | more | custom text</t>
  </si>
  <si>
    <t>Platform name if category=social, e.g. Instagram</t>
  </si>
  <si>
    <t>Display text for this link</t>
  </si>
  <si>
    <t>URL</t>
  </si>
  <si>
    <t>Category for second extra link</t>
  </si>
  <si>
    <t>Platform name if category=social</t>
  </si>
  <si>
    <t>Display text for second extra link</t>
  </si>
  <si>
    <t>Category for third extra link</t>
  </si>
  <si>
    <t>Display text for third extra link</t>
  </si>
  <si>
    <t>Export to JSON</t>
  </si>
  <si>
    <t>Step 1</t>
  </si>
  <si>
    <t>Edit the Data sheet directly in Excel — Summary and county sheets update automatically</t>
  </si>
  <si>
    <t>Step 2</t>
  </si>
  <si>
    <t>To sync to the website: make the Data sheet active → File → Save As → CSV</t>
  </si>
  <si>
    <t>Step 3</t>
  </si>
  <si>
    <t>In your terminal: npm run import -- path/to/your-file.csv</t>
  </si>
  <si>
    <t>Step 4</t>
  </si>
  <si>
    <t>Commit and push municipalities.json to deploy to the website</t>
  </si>
  <si>
    <t>Notes</t>
  </si>
  <si>
    <t>Columns left blank in CSV are ignored — existing values in municipalities.json are not erased</t>
  </si>
  <si>
    <t>The extra sheets (county + summary) do NOT affect CSV export — only the active sheet exports</t>
  </si>
  <si>
    <t>County sheets use Excel 365 FILTER function — requires Microsoft 365 or Excel 2021+</t>
  </si>
  <si>
    <t>Re-run gen-template only if municipalities.json was edited outside of Excel, or columns change</t>
  </si>
  <si>
    <t>Alternate Ending Beer Co.</t>
  </si>
  <si>
    <t>https://www.alternateendingbeerco.com/</t>
  </si>
  <si>
    <t>Ironbound Farm and Ciderhouse</t>
  </si>
  <si>
    <t>https://www.ironboundhardcider.com/</t>
  </si>
  <si>
    <t>Mister C's Beach Bistro</t>
  </si>
  <si>
    <t>http://www.mistercsbeachbistro.com/</t>
  </si>
  <si>
    <t>Woody's Towne Cafe</t>
  </si>
  <si>
    <t>https://www.kikurestaurantsnj.com/</t>
  </si>
  <si>
    <t>https://www.pascalandsabine.com/</t>
  </si>
  <si>
    <t>https://www.onthedeckrestaurant.com/</t>
  </si>
  <si>
    <t>Café Nitido</t>
  </si>
  <si>
    <t>https://thecolumnsnj.com/</t>
  </si>
  <si>
    <t>Sun Harbor Seafood and Grill</t>
  </si>
  <si>
    <t>https://www.sunharborseafoodandgrill.com/</t>
  </si>
  <si>
    <t>https://mustachebills.com/</t>
  </si>
  <si>
    <t>Old Rail Tavern</t>
  </si>
  <si>
    <t>https://theoldrailtavern.com/</t>
  </si>
  <si>
    <t>https://sadboyzbites.com/</t>
  </si>
  <si>
    <t>The Grenville Hotel &amp; Restaurant</t>
  </si>
  <si>
    <t>https://www.thegrenville.com/</t>
  </si>
  <si>
    <t>https://otaikobayonne.com/</t>
  </si>
  <si>
    <t>https://www.blackwhalebar.com/</t>
  </si>
  <si>
    <t>https://sandcastledinernj.com/</t>
  </si>
  <si>
    <t>https://bellmawrsakura.com/</t>
  </si>
  <si>
    <t>Flames Brazilian Steakhouse</t>
  </si>
  <si>
    <t>http://flamesbraziliansteakhouse.com/</t>
  </si>
  <si>
    <t>B2 Bistro + Bar</t>
  </si>
  <si>
    <t>https://www.b2bistro.com/</t>
  </si>
  <si>
    <t>https://www.oldemillinn.com/</t>
  </si>
  <si>
    <t>https://www.ristorantemv.com/</t>
  </si>
  <si>
    <t>https://buckhillbrewery.com/</t>
  </si>
  <si>
    <t>https://www.hatch44cafe.com/</t>
  </si>
  <si>
    <t>https://www.thebarnyardnj.com/</t>
  </si>
  <si>
    <t>https://www.bridgewaterdiner.com/</t>
  </si>
  <si>
    <t>https://www.waypoint622.com/</t>
  </si>
  <si>
    <t>https://gaetanosbrooklawn.com/</t>
  </si>
  <si>
    <t>https://www.unionhouseburlington.com/</t>
  </si>
  <si>
    <t>https://biggies.com/</t>
  </si>
  <si>
    <t>https://talkofthetownenj.com/</t>
  </si>
  <si>
    <t>https://gigiscafe.net/</t>
  </si>
  <si>
    <t>https://nanxiangxiaolongbao.com/</t>
  </si>
  <si>
    <t>http://www.hgsupremebuffet.com/</t>
  </si>
  <si>
    <t>Mirak</t>
  </si>
  <si>
    <t>https://mirakcliffsidepark.com/</t>
  </si>
  <si>
    <t>https://www.ticktockdiner.com/</t>
  </si>
  <si>
    <t>The Clean Plate Kitchen</t>
  </si>
  <si>
    <t>https://www.thecleanplatekitchen.com/</t>
  </si>
  <si>
    <t>Sabrina's Café</t>
  </si>
  <si>
    <t>https://www.sabrinascafe.com/</t>
  </si>
  <si>
    <t>https://www.coltsneckeaterynj.com/</t>
  </si>
  <si>
    <t>https://zinnasbistro.com/</t>
  </si>
  <si>
    <t>https://www.thetopsdiner.com/</t>
  </si>
  <si>
    <t>Mis Amigos Mexican Grill</t>
  </si>
  <si>
    <t>https://www.misamigosmexicangrillnj.com/</t>
  </si>
  <si>
    <t>https://callowaysrestaurant.com/</t>
  </si>
  <si>
    <t>https://www.oldyorkcellars.com/</t>
  </si>
  <si>
    <t>https://www.cedarrosevineyards.com/</t>
  </si>
  <si>
    <t>UMI Hotpot Sushi &amp; Seafood Buffet</t>
  </si>
  <si>
    <t>https://www.umibuffet.com/</t>
  </si>
  <si>
    <t>https://barryscafe.com/</t>
  </si>
  <si>
    <t>The Charlesworth Hotel &amp; Restaurant</t>
  </si>
  <si>
    <t>https://www.charlesworthrestaurant.com/</t>
  </si>
  <si>
    <t>Oscar's Gourmet Café</t>
  </si>
  <si>
    <t>https://oscarsgourmetcafenj.com/</t>
  </si>
  <si>
    <t>https://www.brownstonepancakefactory.com/</t>
  </si>
  <si>
    <t>Familya Kusina</t>
  </si>
  <si>
    <t>https://www.familyakusina.com/</t>
  </si>
  <si>
    <t>https://barlouie.com/</t>
  </si>
  <si>
    <t>https://www.starbucks.com/</t>
  </si>
  <si>
    <t>https://www.havanacentral.com/</t>
  </si>
  <si>
    <t>IKEA</t>
  </si>
  <si>
    <t>https://www.ikea.com/us/en/stores/elizabeth/</t>
  </si>
  <si>
    <t>https://www.overeasykitchen.com/</t>
  </si>
  <si>
    <t>https://www.antojitosguerreromxnj.com/</t>
  </si>
  <si>
    <t>Cast Iron Pot</t>
  </si>
  <si>
    <t>https://castironpotbbq.com/</t>
  </si>
  <si>
    <t>https://www.marioandfranks.com/</t>
  </si>
  <si>
    <t>https://sophiesbistro.net/</t>
  </si>
  <si>
    <t>http://www.asburycoffeemill.com/</t>
  </si>
  <si>
    <t>Metropolitan Café</t>
  </si>
  <si>
    <t>https://www.metrocafenj.com/</t>
  </si>
  <si>
    <t>Inhouse Restaurant and Bar</t>
  </si>
  <si>
    <t>https://www.inhouserestaurantandbar.com/</t>
  </si>
  <si>
    <t>The Bridge Café</t>
  </si>
  <si>
    <t>https://bridgecafe.net/</t>
  </si>
  <si>
    <t>Bait Box Restaurant</t>
  </si>
  <si>
    <t>http://www.hancockharbor.com/</t>
  </si>
  <si>
    <t>https://www.rumbacubana.com/</t>
  </si>
  <si>
    <t>White Manna</t>
  </si>
  <si>
    <t>https://www.whitemanna.com/</t>
  </si>
  <si>
    <t>Rat's Restaurant</t>
  </si>
  <si>
    <t>https://www.ratsrestaurant.com/</t>
  </si>
  <si>
    <t>The Auld Shebeen Pub</t>
  </si>
  <si>
    <t>https://www.marriott.com/en-us/dining/restaurant-bar/ewrho-hanover-marriott/80148-the-auld-shebeen-pub.mi</t>
  </si>
  <si>
    <t>https://www.tiptonstavern.com/</t>
  </si>
  <si>
    <t>http://www.blueplatenj.com/</t>
  </si>
  <si>
    <t>Black-Eyed Susans</t>
  </si>
  <si>
    <t>http://www.blackeyedsusanslbi.com/</t>
  </si>
  <si>
    <t>https://www.tropicalhutexpress.com/</t>
  </si>
  <si>
    <t>https://www.thaifoodaddict.com/</t>
  </si>
  <si>
    <t>http://circa-restaurant.com/</t>
  </si>
  <si>
    <t>Mr. Pi's Sushi</t>
  </si>
  <si>
    <t>https://mrpisushi.com/</t>
  </si>
  <si>
    <t>https://bahrslanding.com/</t>
  </si>
  <si>
    <t>https://tavernonthelake.net/</t>
  </si>
  <si>
    <t>https://www.margheritasrestaurant.com/</t>
  </si>
  <si>
    <t>Cholula Restaurant</t>
  </si>
  <si>
    <t>https://cholularestaurantenglishtown.com/</t>
  </si>
  <si>
    <t>https://www.foxhollowvineyard.com/</t>
  </si>
  <si>
    <t>https://hopatcongdinernj.com/</t>
  </si>
  <si>
    <t>The Greater Bridgeton Amish Farm Market</t>
  </si>
  <si>
    <t>https://bridgetonamishmarket.com/</t>
  </si>
  <si>
    <t>https://www.wildflowersinnrestaurant.com/</t>
  </si>
  <si>
    <t>Antojitos Restaurant Bar</t>
  </si>
  <si>
    <t>https://www.antojitosrestaurantnj.com/</t>
  </si>
  <si>
    <t>https://www.jeffersondiner.com/</t>
  </si>
  <si>
    <t>Max's Restaurant</t>
  </si>
  <si>
    <t>https://www.maxsrestaurantna.com/</t>
  </si>
  <si>
    <t>Vicente's Bread Kitchen &amp; Café</t>
  </si>
  <si>
    <t>https://www.vicentesbread.com/</t>
  </si>
  <si>
    <t>https://lenorascafenj.com/</t>
  </si>
  <si>
    <t>The Famous River Hot Dog Man</t>
  </si>
  <si>
    <t>https://delawarerivertubing.com/HowToFind.html</t>
  </si>
  <si>
    <t>https://www.thelogcabinbargrill.com/</t>
  </si>
  <si>
    <t>http://thewaterfrontnj.com/</t>
  </si>
  <si>
    <t>https://thelakehurstdiner.com/</t>
  </si>
  <si>
    <t>https://www.thehawkerestaurant.com/</t>
  </si>
  <si>
    <t>https://abigailsnjrestaurant.com/</t>
  </si>
  <si>
    <t>http://fallskitchen.com/</t>
  </si>
  <si>
    <t>Sweet Basil's Cafe</t>
  </si>
  <si>
    <t>https://www.sweetbasilscafe.com/</t>
  </si>
  <si>
    <t>Deal Lake Bar + Co.</t>
  </si>
  <si>
    <t>https://www.deallakebarco.com/</t>
  </si>
  <si>
    <t>Avenue</t>
  </si>
  <si>
    <t>https://www.avenuelongbranch.com/</t>
  </si>
  <si>
    <t>https://acasiathairestaurant.com/</t>
  </si>
  <si>
    <t>Prime No.7</t>
  </si>
  <si>
    <t>https://primeno7.com/</t>
  </si>
  <si>
    <t>Peking Pavilion</t>
  </si>
  <si>
    <t>https://pekingpavilion.com/</t>
  </si>
  <si>
    <t>https://www.mtfujimaplewood.com/</t>
  </si>
  <si>
    <t>Tio Taco + Tequila Bar</t>
  </si>
  <si>
    <t>https://www.tiotacotequila.com/</t>
  </si>
  <si>
    <t>Maloney's Pub</t>
  </si>
  <si>
    <t>https://www.maloneyspubnj.com/</t>
  </si>
  <si>
    <t>https://www.mauriceriverdiner.com/</t>
  </si>
  <si>
    <t>https://bluemonkeytavern.com/</t>
  </si>
  <si>
    <t>Mariachi Mexican Restaurant</t>
  </si>
  <si>
    <t>https://sites.onlineordersnow.com/MariachiMexican/</t>
  </si>
  <si>
    <t>https://www.barrelandroost.com/</t>
  </si>
  <si>
    <t>https://oldoarhouse.com/</t>
  </si>
  <si>
    <t>https://cubanpetesrestaurant.com/</t>
  </si>
  <si>
    <t>https://rickys-thai.com/</t>
  </si>
  <si>
    <t>https://www.olivonj.com/</t>
  </si>
  <si>
    <t>https://segoviarestaurant.com/</t>
  </si>
  <si>
    <t>https://www.yardhouse.com/</t>
  </si>
  <si>
    <t>The Carriage House at Culver Lake</t>
  </si>
  <si>
    <t>http://www.thecarriagehouserestaurant.com/</t>
  </si>
  <si>
    <t>https://lillostomatopies.com/</t>
  </si>
  <si>
    <t>https://route9community.com/chapter-house-bar-grill/</t>
  </si>
  <si>
    <t>https://www.thedinerjamesburg.com/</t>
  </si>
  <si>
    <t>https://millside-cafe.res-menu.net/</t>
  </si>
  <si>
    <t>https://www.njdinerjourney.com/diner/route-70-diner</t>
  </si>
  <si>
    <t>Bayshore Crab House</t>
  </si>
  <si>
    <t>https://www.bayshorecrabhouse.com/</t>
  </si>
  <si>
    <t>Lassoni Restaurant</t>
  </si>
  <si>
    <t>https://lassonirestaurant.com/</t>
  </si>
  <si>
    <t>https://www.mariospizzanj.com/</t>
  </si>
  <si>
    <t>Los Antojitos BBQ</t>
  </si>
  <si>
    <t>https://www.losantojitosbbq.com/</t>
  </si>
  <si>
    <t>Fresco Italian Steak &amp; Seafood Grill</t>
  </si>
  <si>
    <t>https://restaurantfresco.com/</t>
  </si>
  <si>
    <t>B-UNOS</t>
  </si>
  <si>
    <t>https://bunosbbb.com/bunosmtholly</t>
  </si>
  <si>
    <t>Brick House Tavern + Tap</t>
  </si>
  <si>
    <t>https://www.brickhousetavernandtap.com/location/brick-house-tavern-and-tap-neptune-nj/</t>
  </si>
  <si>
    <t>Pete &amp; Elda's Bar / Carmen's Pizzeria</t>
  </si>
  <si>
    <t>https://peteandeldas.com/</t>
  </si>
  <si>
    <t>https://oldmanraffertys.com/</t>
  </si>
  <si>
    <t>https://casadepaconj.com/</t>
  </si>
  <si>
    <t>Pizza Land</t>
  </si>
  <si>
    <t>https://www.pizzalandnj.com/</t>
  </si>
  <si>
    <t>Sonoma Bistro Bar and Grill</t>
  </si>
  <si>
    <t>https://sonomabistrobarnutley.com/</t>
  </si>
  <si>
    <t>Los Jalapeños</t>
  </si>
  <si>
    <t>https://losjalapenosgrill.com/</t>
  </si>
  <si>
    <t>https://www.blueswandiner.com/</t>
  </si>
  <si>
    <t>Thai Streat</t>
  </si>
  <si>
    <t>https://www.thaistreat.com/</t>
  </si>
  <si>
    <t>https://www.osteria545.com/</t>
  </si>
  <si>
    <t>Vito's Pizzeria &amp; Sub Shop</t>
  </si>
  <si>
    <t>https://www.vitospennington.com/</t>
  </si>
  <si>
    <t>https://theshipyardnj.com/</t>
  </si>
  <si>
    <t>https://www.amasirestaurant.com/</t>
  </si>
  <si>
    <t>https://www.tacoholicsnj.com/</t>
  </si>
  <si>
    <t>https://theshrimpbox.com/</t>
  </si>
  <si>
    <t>http://www.nomadpizzaco.com/</t>
  </si>
  <si>
    <t>https://varkarestaurant.com/</t>
  </si>
  <si>
    <t>https://lauritawinery.com/</t>
  </si>
  <si>
    <t>Flemington Diner</t>
  </si>
  <si>
    <t>https://www.flemingtondiner.com/</t>
  </si>
  <si>
    <t>https://charsteakhouse.com/</t>
  </si>
  <si>
    <t>Q Grill</t>
  </si>
  <si>
    <t>https://qgrillkbbq.com/</t>
  </si>
  <si>
    <t>https://clemmysrestaurant.com/</t>
  </si>
  <si>
    <t>https://www.rosiesoceangate.com/</t>
  </si>
  <si>
    <t>Blu Grotto Restaurant</t>
  </si>
  <si>
    <t>https://www.blugrottorestaurant.com/</t>
  </si>
  <si>
    <t>Zinburger Wine &amp; Burger Bar</t>
  </si>
  <si>
    <t>https://www.zinburgeraz.com/</t>
  </si>
  <si>
    <t>Se Salio El Pollo</t>
  </si>
  <si>
    <t>https://sesalioelpollonj.com/</t>
  </si>
  <si>
    <t>https://cowtownrodeo.com/</t>
  </si>
  <si>
    <t>https://www.comfortcafequinton.com/</t>
  </si>
  <si>
    <t>https://lakesidedinernj.com/</t>
  </si>
  <si>
    <t>https://www.earlybirdnj.com/</t>
  </si>
  <si>
    <t>https://www.papastomatopies.com/</t>
  </si>
  <si>
    <t>https://house157.com/</t>
  </si>
  <si>
    <t>https://www.thefrenchmarketnj.com/</t>
  </si>
  <si>
    <t>https://sonomabistrorutherford.com/</t>
  </si>
  <si>
    <t>https://hgsnj.com/</t>
  </si>
  <si>
    <t>https://stagehousetavern.com/scotchplains/</t>
  </si>
  <si>
    <t>The Rum Runner</t>
  </si>
  <si>
    <t>https://www.mcloonesrumrunner.com/</t>
  </si>
  <si>
    <t>Parker House</t>
  </si>
  <si>
    <t>https://parkerhousenj.com/</t>
  </si>
  <si>
    <t>https://sawmillcafe.com/</t>
  </si>
  <si>
    <t>https://www.legendsdiner-nj.com/</t>
  </si>
  <si>
    <t>https://www.lbitable.com/</t>
  </si>
  <si>
    <t>Salted Lime Bar &amp; Kitchen</t>
  </si>
  <si>
    <t>https://saltedlimerestaurant.com/</t>
  </si>
  <si>
    <t>https://raisethebarnj.com/</t>
  </si>
  <si>
    <t>Eno Terra</t>
  </si>
  <si>
    <t>https://www.enoterra.com/</t>
  </si>
  <si>
    <t>https://portuguesefisherman.com/</t>
  </si>
  <si>
    <t>iL Porto on Lake Mohawk</t>
  </si>
  <si>
    <t>http://www.ristoranteilporto.com/</t>
  </si>
  <si>
    <t>https://villaamalfitomsriver.com/</t>
  </si>
  <si>
    <t>https://www.pandaexpress.com/</t>
  </si>
  <si>
    <t>http://anditsgoodstuff.com/</t>
  </si>
  <si>
    <t>Vincentown Diner</t>
  </si>
  <si>
    <t>https://vincentowndiner.com/</t>
  </si>
  <si>
    <t>MJ's Pizza Bar &amp; Grill</t>
  </si>
  <si>
    <t>https://www.mjsrestaurant.com/</t>
  </si>
  <si>
    <t>Spring Lake Manor</t>
  </si>
  <si>
    <t>https://springlakemanor.com/</t>
  </si>
  <si>
    <t>https://www.pandoradiner.com/</t>
  </si>
  <si>
    <t>Hens &amp; Honey Shoppe</t>
  </si>
  <si>
    <t>https://hensandhoneyshoppe.com/</t>
  </si>
  <si>
    <t>The Oldwick General Store</t>
  </si>
  <si>
    <t>https://theoldwickgeneralstore.com/</t>
  </si>
  <si>
    <t>https://www.coopersnj.com/</t>
  </si>
  <si>
    <t>Dockside Cafe &amp; Marina</t>
  </si>
  <si>
    <t>https://docksidecafenj.com/</t>
  </si>
  <si>
    <t>https://www.clintonstationdiner.com/</t>
  </si>
  <si>
    <t>https://elartesanorestaurant.com/</t>
  </si>
  <si>
    <t>https://www.goldenpigeondiner.com/</t>
  </si>
  <si>
    <t>Elmer's Country Store</t>
  </si>
  <si>
    <t>https://elmerscountrystore.com/</t>
  </si>
  <si>
    <t>Dunkin'</t>
  </si>
  <si>
    <t>https://www.dunkindonuts.com/</t>
  </si>
  <si>
    <t>Cilantro Mexican Restaurant</t>
  </si>
  <si>
    <t>https://www.cilantromexicanrestaurantnj.com/</t>
  </si>
  <si>
    <t>The Roadside Diner</t>
  </si>
  <si>
    <t>https://theroadsidediner0529.s4shops.com/</t>
  </si>
  <si>
    <t>The Walpack Inn</t>
  </si>
  <si>
    <t>https://www.walpackinn.com/</t>
  </si>
  <si>
    <t>Uproot Restaurant</t>
  </si>
  <si>
    <t>https://www.uprootrestaurant.com/</t>
  </si>
  <si>
    <t>https://firstwatch.com/</t>
  </si>
  <si>
    <t>Le Crêpe Café</t>
  </si>
  <si>
    <t>https://www.lecrepecafe.com/</t>
  </si>
  <si>
    <t>POURtuga Coffee House</t>
  </si>
  <si>
    <t>https://pourtuga.com/</t>
  </si>
  <si>
    <t>Chart House</t>
  </si>
  <si>
    <t>https://www.chart-house.com/</t>
  </si>
  <si>
    <t>D'Boathaus Restaurant</t>
  </si>
  <si>
    <t>https://www.dboathaus.com/</t>
  </si>
  <si>
    <t>Las Palmas Restaurant</t>
  </si>
  <si>
    <t>https://www.laspalmastogo.com/</t>
  </si>
  <si>
    <t>https://www.mcloonesboathouse.com/</t>
  </si>
  <si>
    <t>Penang Malaysian &amp; Thai Restaurant</t>
  </si>
  <si>
    <t>https://www.penangedison.com/</t>
  </si>
  <si>
    <t>https://theqspotnj.com/</t>
  </si>
  <si>
    <t>https://hotdogjohnny.com/</t>
  </si>
  <si>
    <t>https://www.mackspizza.com/</t>
  </si>
  <si>
    <t>http://efendywillingboro.com/</t>
  </si>
  <si>
    <t>Colonial Diner</t>
  </si>
  <si>
    <t>https://www.colonialdiner.com/</t>
  </si>
  <si>
    <t>Hollywood Diner</t>
  </si>
  <si>
    <t>https://www.thehollywooddiner.com/</t>
  </si>
  <si>
    <t>https://reyesfood.com/</t>
  </si>
  <si>
    <t>https://thewoodstowndiner.com/</t>
  </si>
  <si>
    <t>NJ Town #130: Bordentown City</t>
  </si>
  <si>
    <t>https://www.facebook.com/share/r/1BYX7yi85z/</t>
  </si>
  <si>
    <t>https://philysportbar.com/</t>
  </si>
  <si>
    <t>Phily Diner and Sport Bar</t>
  </si>
  <si>
    <t>Donkey's Place Steaks</t>
  </si>
  <si>
    <t>https://www.donkeysplace.com/</t>
  </si>
  <si>
    <t>1958 Cuban Cuisine</t>
  </si>
  <si>
    <t>https://www.1958cubancuisine.com/</t>
  </si>
  <si>
    <t>https://www.fireandoak.com/</t>
  </si>
  <si>
    <t>Fire &amp; Oak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</si>
</sst>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b/>
      <sz val="9"/>
      <color rgb="FF444444"/>
      <name val="Calibri"/>
      <family val="2"/>
    </font>
    <font>
      <b/>
      <sz val="10"/>
      <color rgb="FF1A1A1A"/>
      <name val="Calibri"/>
      <family val="2"/>
    </font>
    <font>
      <sz val="10"/>
      <name val="Calibri"/>
      <family val="2"/>
    </font>
    <font>
      <b/>
      <sz val="14"/>
      <color rgb="FFFFFFFF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0"/>
      <color rgb="FFFFFFFF"/>
      <name val="Calibri"/>
      <family val="2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DDEEFF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1E2D47"/>
      </patternFill>
    </fill>
    <fill>
      <patternFill patternType="solid">
        <fgColor rgb="FFFFFDE7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10" fillId="0" borderId="0"/>
  </cellStyleXfs>
  <cellXfs count="88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/>
    </xf>
    <xf numFmtId="164" fontId="3" fillId="13" borderId="1" xfId="0" applyNumberFormat="1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164" fontId="3" fillId="14" borderId="1" xfId="0" applyNumberFormat="1" applyFont="1" applyFill="1" applyBorder="1" applyAlignment="1">
      <alignment vertical="center"/>
    </xf>
    <xf numFmtId="164" fontId="0" fillId="0" borderId="0" xfId="0" applyNumberFormat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5" fillId="12" borderId="1" xfId="0" applyFont="1" applyFill="1" applyBorder="1"/>
    <xf numFmtId="0" fontId="0" fillId="12" borderId="1" xfId="0" applyFill="1" applyBorder="1"/>
    <xf numFmtId="0" fontId="3" fillId="12" borderId="1" xfId="0" applyFont="1" applyFill="1" applyBorder="1"/>
    <xf numFmtId="0" fontId="5" fillId="10" borderId="1" xfId="0" applyFont="1" applyFill="1" applyBorder="1"/>
    <xf numFmtId="0" fontId="0" fillId="10" borderId="1" xfId="0" applyFill="1" applyBorder="1"/>
    <xf numFmtId="0" fontId="3" fillId="10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 wrapText="1"/>
    </xf>
    <xf numFmtId="0" fontId="5" fillId="16" borderId="1" xfId="0" applyFont="1" applyFill="1" applyBorder="1"/>
    <xf numFmtId="0" fontId="0" fillId="16" borderId="1" xfId="0" applyFill="1" applyBorder="1"/>
    <xf numFmtId="0" fontId="3" fillId="16" borderId="1" xfId="0" applyFont="1" applyFill="1" applyBorder="1"/>
    <xf numFmtId="0" fontId="10" fillId="14" borderId="1" xfId="1" applyFill="1" applyBorder="1" applyAlignment="1">
      <alignment vertical="center"/>
    </xf>
    <xf numFmtId="0" fontId="0" fillId="0" borderId="0" xfId="0" applyAlignment="1">
      <alignment wrapText="1"/>
    </xf>
    <xf numFmtId="49" fontId="3" fillId="14" borderId="1" xfId="0" applyNumberFormat="1" applyFont="1" applyFill="1" applyBorder="1" applyAlignment="1">
      <alignment vertical="center"/>
    </xf>
    <xf numFmtId="49" fontId="3" fillId="13" borderId="1" xfId="0" applyNumberFormat="1" applyFont="1" applyFill="1" applyBorder="1" applyAlignment="1">
      <alignment vertical="center"/>
    </xf>
    <xf numFmtId="14" fontId="3" fillId="13" borderId="1" xfId="0" applyNumberFormat="1" applyFont="1" applyFill="1" applyBorder="1" applyAlignment="1">
      <alignment vertical="center"/>
    </xf>
    <xf numFmtId="0" fontId="3" fillId="14" borderId="4" xfId="0" applyFont="1" applyFill="1" applyBorder="1" applyAlignment="1">
      <alignment vertical="center"/>
    </xf>
    <xf numFmtId="0" fontId="10" fillId="0" borderId="0" xfId="1"/>
    <xf numFmtId="0" fontId="1" fillId="4" borderId="1" xfId="0" applyFont="1" applyFill="1" applyBorder="1" applyAlignment="1">
      <alignment horizontal="center" vertical="center"/>
    </xf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1" fillId="12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0" fillId="0" borderId="0" xfId="0"/>
    <xf numFmtId="0" fontId="8" fillId="15" borderId="0" xfId="0" applyFont="1" applyFill="1" applyAlignment="1">
      <alignment horizontal="center" vertical="center"/>
    </xf>
    <xf numFmtId="0" fontId="9" fillId="15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ohrbros.com/" TargetMode="External"/><Relationship Id="rId1" Type="http://schemas.openxmlformats.org/officeDocument/2006/relationships/hyperlink" Target="https://maps.app.goo.gl/YKSxWGRvsQLd4Mi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602"/>
  <sheetViews>
    <sheetView tabSelected="1" zoomScale="150" zoomScaleNormal="150" workbookViewId="0">
      <pane xSplit="3" ySplit="2" topLeftCell="D309" activePane="bottomRight" state="frozen"/>
      <selection pane="topRight"/>
      <selection pane="bottomLeft"/>
      <selection pane="bottomRight" activeCell="A326" sqref="A326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18" customHeight="1" x14ac:dyDescent="0.2">
      <c r="A1" s="74" t="s">
        <v>0</v>
      </c>
      <c r="B1" s="75"/>
      <c r="C1" s="75"/>
      <c r="D1" s="73"/>
      <c r="E1" s="78" t="s">
        <v>1</v>
      </c>
      <c r="F1" s="75"/>
      <c r="G1" s="75"/>
      <c r="H1" s="73"/>
      <c r="I1" s="72" t="s">
        <v>2</v>
      </c>
      <c r="J1" s="73"/>
      <c r="K1" s="1" t="s">
        <v>3</v>
      </c>
      <c r="L1" s="81" t="s">
        <v>4</v>
      </c>
      <c r="M1" s="75"/>
      <c r="N1" s="75"/>
      <c r="O1" s="73"/>
      <c r="P1" s="82" t="s">
        <v>5</v>
      </c>
      <c r="Q1" s="75"/>
      <c r="R1" s="75"/>
      <c r="S1" s="73"/>
      <c r="T1" s="83" t="s">
        <v>6</v>
      </c>
      <c r="U1" s="75"/>
      <c r="V1" s="75"/>
      <c r="W1" s="73"/>
      <c r="X1" s="77" t="s">
        <v>7</v>
      </c>
      <c r="Y1" s="75"/>
      <c r="Z1" s="75"/>
      <c r="AA1" s="73"/>
      <c r="AB1" s="79" t="s">
        <v>8</v>
      </c>
      <c r="AC1" s="75"/>
      <c r="AD1" s="75"/>
      <c r="AE1" s="73"/>
      <c r="AF1" s="80" t="s">
        <v>9</v>
      </c>
      <c r="AG1" s="75"/>
      <c r="AH1" s="75"/>
      <c r="AI1" s="73"/>
      <c r="AJ1" s="76" t="s">
        <v>10</v>
      </c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3"/>
    </row>
    <row r="2" spans="1:47" ht="30" customHeight="1" x14ac:dyDescent="0.2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 t="s">
        <v>19</v>
      </c>
      <c r="J2" s="4" t="s">
        <v>20</v>
      </c>
      <c r="K2" s="5" t="s">
        <v>21</v>
      </c>
      <c r="L2" s="6" t="s">
        <v>22</v>
      </c>
      <c r="M2" s="6" t="s">
        <v>23</v>
      </c>
      <c r="N2" s="6" t="s">
        <v>24</v>
      </c>
      <c r="O2" s="6" t="s">
        <v>25</v>
      </c>
      <c r="P2" s="7" t="s">
        <v>26</v>
      </c>
      <c r="Q2" s="7" t="s">
        <v>27</v>
      </c>
      <c r="R2" s="7" t="s">
        <v>28</v>
      </c>
      <c r="S2" s="7" t="s">
        <v>29</v>
      </c>
      <c r="T2" s="8" t="s">
        <v>30</v>
      </c>
      <c r="U2" s="8" t="s">
        <v>31</v>
      </c>
      <c r="V2" s="8" t="s">
        <v>32</v>
      </c>
      <c r="W2" s="8" t="s">
        <v>33</v>
      </c>
      <c r="X2" s="9" t="s">
        <v>34</v>
      </c>
      <c r="Y2" s="9" t="s">
        <v>35</v>
      </c>
      <c r="Z2" s="9" t="s">
        <v>36</v>
      </c>
      <c r="AA2" s="9" t="s">
        <v>37</v>
      </c>
      <c r="AB2" s="10" t="s">
        <v>38</v>
      </c>
      <c r="AC2" s="10" t="s">
        <v>39</v>
      </c>
      <c r="AD2" s="10" t="s">
        <v>40</v>
      </c>
      <c r="AE2" s="10" t="s">
        <v>41</v>
      </c>
      <c r="AF2" s="11" t="s">
        <v>42</v>
      </c>
      <c r="AG2" s="11" t="s">
        <v>43</v>
      </c>
      <c r="AH2" s="11" t="s">
        <v>44</v>
      </c>
      <c r="AI2" s="11" t="s">
        <v>45</v>
      </c>
      <c r="AJ2" s="12" t="s">
        <v>46</v>
      </c>
      <c r="AK2" s="12" t="s">
        <v>47</v>
      </c>
      <c r="AL2" s="12" t="s">
        <v>48</v>
      </c>
      <c r="AM2" s="12" t="s">
        <v>49</v>
      </c>
      <c r="AN2" s="12" t="s">
        <v>50</v>
      </c>
      <c r="AO2" s="12" t="s">
        <v>51</v>
      </c>
      <c r="AP2" s="12" t="s">
        <v>52</v>
      </c>
      <c r="AQ2" s="12" t="s">
        <v>53</v>
      </c>
      <c r="AR2" s="12" t="s">
        <v>54</v>
      </c>
      <c r="AS2" s="12" t="s">
        <v>55</v>
      </c>
      <c r="AT2" s="12" t="s">
        <v>56</v>
      </c>
      <c r="AU2" s="12" t="s">
        <v>57</v>
      </c>
    </row>
    <row r="3" spans="1:47" ht="16" customHeight="1" x14ac:dyDescent="0.2">
      <c r="A3" s="13" t="s">
        <v>58</v>
      </c>
      <c r="B3" s="13" t="s">
        <v>59</v>
      </c>
      <c r="C3" s="13" t="s">
        <v>60</v>
      </c>
      <c r="D3" s="13" t="s">
        <v>61</v>
      </c>
      <c r="E3" s="13" t="s">
        <v>62</v>
      </c>
      <c r="F3" s="13"/>
      <c r="G3" s="13" t="s">
        <v>63</v>
      </c>
      <c r="H3" s="14">
        <v>45042</v>
      </c>
      <c r="I3" s="13" t="s">
        <v>1833</v>
      </c>
      <c r="J3" s="13" t="s">
        <v>1834</v>
      </c>
      <c r="K3" s="13" t="str">
        <f t="shared" ref="K3:K34" si="0">IF(A3="","","https://en.wikipedia.org/wiki/"&amp;SUBSTITUTE(A3," ","_")&amp;IF(D3="township","_Township","")&amp;",_New_Jersey")</f>
        <v>https://en.wikipedia.org/wiki/Aberdeen_Township,_New_Jersey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</row>
    <row r="4" spans="1:47" ht="16" customHeight="1" x14ac:dyDescent="0.2">
      <c r="A4" s="15" t="s">
        <v>64</v>
      </c>
      <c r="B4" s="15" t="s">
        <v>65</v>
      </c>
      <c r="C4" s="15" t="s">
        <v>66</v>
      </c>
      <c r="D4" s="15" t="s">
        <v>67</v>
      </c>
      <c r="E4" s="15" t="s">
        <v>68</v>
      </c>
      <c r="F4" s="15"/>
      <c r="G4" s="15"/>
      <c r="H4" s="16"/>
      <c r="I4" s="15"/>
      <c r="J4" s="15"/>
      <c r="K4" s="13" t="str">
        <f t="shared" si="0"/>
        <v>https://en.wikipedia.org/wiki/Absecon,_New_Jersey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</row>
    <row r="5" spans="1:47" ht="16" customHeight="1" x14ac:dyDescent="0.2">
      <c r="A5" s="13" t="s">
        <v>69</v>
      </c>
      <c r="B5" s="13" t="s">
        <v>70</v>
      </c>
      <c r="C5" s="13" t="s">
        <v>71</v>
      </c>
      <c r="D5" s="13" t="s">
        <v>61</v>
      </c>
      <c r="E5" s="13" t="s">
        <v>72</v>
      </c>
      <c r="F5" s="13">
        <v>245</v>
      </c>
      <c r="G5" s="13" t="s">
        <v>73</v>
      </c>
      <c r="H5" s="14">
        <v>45599</v>
      </c>
      <c r="I5" s="13" t="s">
        <v>1835</v>
      </c>
      <c r="J5" s="13" t="s">
        <v>1836</v>
      </c>
      <c r="K5" s="13" t="str">
        <f t="shared" si="0"/>
        <v>https://en.wikipedia.org/wiki/Alexandria_Township,_New_Jersey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</row>
    <row r="6" spans="1:47" ht="16" customHeight="1" x14ac:dyDescent="0.2">
      <c r="A6" s="15" t="s">
        <v>74</v>
      </c>
      <c r="B6" s="15" t="s">
        <v>75</v>
      </c>
      <c r="C6" s="15" t="s">
        <v>76</v>
      </c>
      <c r="D6" s="15" t="s">
        <v>61</v>
      </c>
      <c r="E6" s="15" t="s">
        <v>68</v>
      </c>
      <c r="F6" s="15"/>
      <c r="G6" s="15"/>
      <c r="H6" s="16"/>
      <c r="I6" s="15"/>
      <c r="J6" s="15"/>
      <c r="K6" s="13" t="str">
        <f t="shared" si="0"/>
        <v>https://en.wikipedia.org/wiki/Allamuchy_Township,_New_Jersey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</row>
    <row r="7" spans="1:47" ht="16" customHeight="1" x14ac:dyDescent="0.2">
      <c r="A7" s="13" t="s">
        <v>77</v>
      </c>
      <c r="B7" s="13" t="s">
        <v>78</v>
      </c>
      <c r="C7" s="13" t="s">
        <v>79</v>
      </c>
      <c r="D7" s="13" t="s">
        <v>80</v>
      </c>
      <c r="E7" s="13" t="s">
        <v>68</v>
      </c>
      <c r="F7" s="13"/>
      <c r="G7" s="13"/>
      <c r="H7" s="14"/>
      <c r="I7" s="13"/>
      <c r="J7" s="13"/>
      <c r="K7" s="13" t="str">
        <f t="shared" si="0"/>
        <v>https://en.wikipedia.org/wiki/Allendale,_New_Jersey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</row>
    <row r="8" spans="1:47" ht="16" customHeight="1" x14ac:dyDescent="0.2">
      <c r="A8" s="15" t="s">
        <v>81</v>
      </c>
      <c r="B8" s="15" t="s">
        <v>59</v>
      </c>
      <c r="C8" s="15" t="s">
        <v>82</v>
      </c>
      <c r="D8" s="15" t="s">
        <v>80</v>
      </c>
      <c r="E8" s="15" t="s">
        <v>83</v>
      </c>
      <c r="F8" s="15">
        <v>91</v>
      </c>
      <c r="G8" s="15" t="s">
        <v>84</v>
      </c>
      <c r="H8" s="16">
        <v>45122</v>
      </c>
      <c r="I8" s="15" t="s">
        <v>1837</v>
      </c>
      <c r="J8" s="15" t="s">
        <v>1838</v>
      </c>
      <c r="K8" s="13" t="str">
        <f t="shared" si="0"/>
        <v>https://en.wikipedia.org/wiki/Allenhurst,_New_Jersey</v>
      </c>
      <c r="L8" s="15" t="s">
        <v>85</v>
      </c>
      <c r="M8" s="15" t="s">
        <v>86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87</v>
      </c>
      <c r="AM8" s="15" t="s">
        <v>88</v>
      </c>
      <c r="AN8" s="15"/>
      <c r="AO8" s="15"/>
      <c r="AP8" s="15"/>
      <c r="AQ8" s="15"/>
      <c r="AR8" s="15"/>
      <c r="AS8" s="15"/>
      <c r="AT8" s="15"/>
      <c r="AU8" s="15"/>
    </row>
    <row r="9" spans="1:47" ht="16" customHeight="1" x14ac:dyDescent="0.2">
      <c r="A9" s="13" t="s">
        <v>89</v>
      </c>
      <c r="B9" s="13" t="s">
        <v>59</v>
      </c>
      <c r="C9" s="13" t="s">
        <v>90</v>
      </c>
      <c r="D9" s="13" t="s">
        <v>80</v>
      </c>
      <c r="E9" s="13" t="s">
        <v>83</v>
      </c>
      <c r="F9" s="13">
        <v>96</v>
      </c>
      <c r="G9" s="13" t="s">
        <v>91</v>
      </c>
      <c r="H9" s="14">
        <v>45143</v>
      </c>
      <c r="I9" s="13" t="s">
        <v>1839</v>
      </c>
      <c r="J9" s="13"/>
      <c r="K9" s="13" t="str">
        <f t="shared" si="0"/>
        <v>https://en.wikipedia.org/wiki/Allentown,_New_Jersey</v>
      </c>
      <c r="L9" s="13" t="s">
        <v>92</v>
      </c>
      <c r="M9" s="13" t="s">
        <v>93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 t="s">
        <v>94</v>
      </c>
      <c r="AM9" s="13" t="s">
        <v>93</v>
      </c>
      <c r="AN9" s="13"/>
      <c r="AO9" s="13"/>
      <c r="AP9" s="13"/>
      <c r="AQ9" s="13"/>
      <c r="AR9" s="13"/>
      <c r="AS9" s="13"/>
      <c r="AT9" s="13"/>
      <c r="AU9" s="13"/>
    </row>
    <row r="10" spans="1:47" ht="16" customHeight="1" x14ac:dyDescent="0.2">
      <c r="A10" s="15" t="s">
        <v>95</v>
      </c>
      <c r="B10" s="15" t="s">
        <v>96</v>
      </c>
      <c r="C10" s="15" t="s">
        <v>97</v>
      </c>
      <c r="D10" s="15" t="s">
        <v>61</v>
      </c>
      <c r="E10" s="15" t="s">
        <v>68</v>
      </c>
      <c r="F10" s="15"/>
      <c r="G10" s="15"/>
      <c r="H10" s="16"/>
      <c r="I10" s="15"/>
      <c r="J10" s="15"/>
      <c r="K10" s="13" t="str">
        <f t="shared" si="0"/>
        <v>https://en.wikipedia.org/wiki/Alloway_Township,_New_Jersey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</row>
    <row r="11" spans="1:47" ht="16" customHeight="1" x14ac:dyDescent="0.2">
      <c r="A11" s="13" t="s">
        <v>98</v>
      </c>
      <c r="B11" s="13" t="s">
        <v>75</v>
      </c>
      <c r="C11" s="13" t="s">
        <v>99</v>
      </c>
      <c r="D11" s="13" t="s">
        <v>80</v>
      </c>
      <c r="E11" s="13" t="s">
        <v>72</v>
      </c>
      <c r="F11" s="13">
        <v>140</v>
      </c>
      <c r="G11" s="13" t="s">
        <v>100</v>
      </c>
      <c r="H11" s="14">
        <v>45248</v>
      </c>
      <c r="I11" s="13" t="s">
        <v>100</v>
      </c>
      <c r="J11" s="13"/>
      <c r="K11" s="13" t="str">
        <f t="shared" si="0"/>
        <v>https://en.wikipedia.org/wiki/Alpha,_New_Jersey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</row>
    <row r="12" spans="1:47" ht="16" customHeight="1" x14ac:dyDescent="0.2">
      <c r="A12" s="15" t="s">
        <v>101</v>
      </c>
      <c r="B12" s="15" t="s">
        <v>78</v>
      </c>
      <c r="C12" s="15" t="s">
        <v>102</v>
      </c>
      <c r="D12" s="15" t="s">
        <v>80</v>
      </c>
      <c r="E12" s="15" t="s">
        <v>72</v>
      </c>
      <c r="F12" s="15">
        <v>239</v>
      </c>
      <c r="G12" s="15" t="s">
        <v>103</v>
      </c>
      <c r="H12" s="67" t="s">
        <v>104</v>
      </c>
      <c r="I12" s="15" t="s">
        <v>103</v>
      </c>
      <c r="J12" s="15" t="s">
        <v>1840</v>
      </c>
      <c r="K12" s="13" t="str">
        <f t="shared" si="0"/>
        <v>https://en.wikipedia.org/wiki/Alpine,_New_Jersey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</row>
    <row r="13" spans="1:47" ht="16" customHeight="1" x14ac:dyDescent="0.2">
      <c r="A13" s="13" t="s">
        <v>105</v>
      </c>
      <c r="B13" s="13" t="s">
        <v>106</v>
      </c>
      <c r="C13" s="13" t="s">
        <v>107</v>
      </c>
      <c r="D13" s="13" t="s">
        <v>80</v>
      </c>
      <c r="E13" s="13" t="s">
        <v>68</v>
      </c>
      <c r="F13" s="13"/>
      <c r="G13" s="13"/>
      <c r="H13" s="14"/>
      <c r="I13" s="13"/>
      <c r="J13" s="13"/>
      <c r="K13" s="13" t="str">
        <f t="shared" si="0"/>
        <v>https://en.wikipedia.org/wiki/Andover,_New_Jersey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</row>
    <row r="14" spans="1:47" ht="16" customHeight="1" x14ac:dyDescent="0.2">
      <c r="A14" s="15" t="s">
        <v>105</v>
      </c>
      <c r="B14" s="15" t="s">
        <v>106</v>
      </c>
      <c r="C14" s="15" t="s">
        <v>108</v>
      </c>
      <c r="D14" s="15" t="s">
        <v>61</v>
      </c>
      <c r="E14" s="15" t="s">
        <v>68</v>
      </c>
      <c r="F14" s="15"/>
      <c r="G14" s="15"/>
      <c r="H14" s="16"/>
      <c r="I14" s="15"/>
      <c r="J14" s="15"/>
      <c r="K14" s="13" t="str">
        <f t="shared" si="0"/>
        <v>https://en.wikipedia.org/wiki/Andover_Township,_New_Jersey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</row>
    <row r="15" spans="1:47" ht="16" customHeight="1" x14ac:dyDescent="0.2">
      <c r="A15" s="13" t="s">
        <v>109</v>
      </c>
      <c r="B15" s="13" t="s">
        <v>59</v>
      </c>
      <c r="C15" s="13" t="s">
        <v>110</v>
      </c>
      <c r="D15" s="13" t="s">
        <v>67</v>
      </c>
      <c r="E15" s="13" t="s">
        <v>62</v>
      </c>
      <c r="F15" s="13"/>
      <c r="G15" s="13" t="s">
        <v>111</v>
      </c>
      <c r="H15" s="14">
        <v>44970</v>
      </c>
      <c r="I15" s="13" t="s">
        <v>111</v>
      </c>
      <c r="J15" s="13" t="s">
        <v>1841</v>
      </c>
      <c r="K15" s="13" t="str">
        <f t="shared" si="0"/>
        <v>https://en.wikipedia.org/wiki/Asbury_Park,_New_Jersey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</row>
    <row r="16" spans="1:47" ht="16" customHeight="1" x14ac:dyDescent="0.2">
      <c r="A16" s="15" t="s">
        <v>112</v>
      </c>
      <c r="B16" s="15" t="s">
        <v>65</v>
      </c>
      <c r="C16" s="15" t="s">
        <v>113</v>
      </c>
      <c r="D16" s="15" t="s">
        <v>67</v>
      </c>
      <c r="E16" s="15" t="s">
        <v>62</v>
      </c>
      <c r="F16" s="15"/>
      <c r="G16" s="15" t="s">
        <v>114</v>
      </c>
      <c r="H16" s="16">
        <v>43639</v>
      </c>
      <c r="I16" s="15" t="s">
        <v>114</v>
      </c>
      <c r="J16" s="15" t="s">
        <v>115</v>
      </c>
      <c r="K16" s="13" t="str">
        <f t="shared" si="0"/>
        <v>https://en.wikipedia.org/wiki/Atlantic_City,_New_Jersey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</row>
    <row r="17" spans="1:47" ht="16" customHeight="1" x14ac:dyDescent="0.2">
      <c r="A17" s="13" t="s">
        <v>116</v>
      </c>
      <c r="B17" s="13" t="s">
        <v>59</v>
      </c>
      <c r="C17" s="13" t="s">
        <v>117</v>
      </c>
      <c r="D17" s="13" t="s">
        <v>80</v>
      </c>
      <c r="E17" s="13" t="s">
        <v>83</v>
      </c>
      <c r="F17" s="13">
        <v>89</v>
      </c>
      <c r="G17" s="13" t="s">
        <v>118</v>
      </c>
      <c r="H17" s="14">
        <v>45121</v>
      </c>
      <c r="I17" s="13" t="s">
        <v>118</v>
      </c>
      <c r="J17" s="13" t="s">
        <v>1842</v>
      </c>
      <c r="K17" s="13" t="str">
        <f t="shared" si="0"/>
        <v>https://en.wikipedia.org/wiki/Atlantic_Highlands,_New_Jersey</v>
      </c>
      <c r="L17" s="13" t="s">
        <v>119</v>
      </c>
      <c r="M17" s="13" t="s">
        <v>120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 t="s">
        <v>121</v>
      </c>
      <c r="AM17" s="13" t="s">
        <v>120</v>
      </c>
      <c r="AN17" s="13"/>
      <c r="AO17" s="13"/>
      <c r="AP17" s="13"/>
      <c r="AQ17" s="13"/>
      <c r="AR17" s="13"/>
      <c r="AS17" s="13"/>
      <c r="AT17" s="13"/>
      <c r="AU17" s="13"/>
    </row>
    <row r="18" spans="1:47" ht="16" customHeight="1" x14ac:dyDescent="0.2">
      <c r="A18" s="15" t="s">
        <v>122</v>
      </c>
      <c r="B18" s="15" t="s">
        <v>123</v>
      </c>
      <c r="C18" s="15" t="s">
        <v>124</v>
      </c>
      <c r="D18" s="15" t="s">
        <v>80</v>
      </c>
      <c r="E18" s="15" t="s">
        <v>72</v>
      </c>
      <c r="F18" s="15">
        <v>283</v>
      </c>
      <c r="G18" s="15" t="s">
        <v>125</v>
      </c>
      <c r="H18" s="67" t="s">
        <v>126</v>
      </c>
      <c r="I18" s="15" t="s">
        <v>1843</v>
      </c>
      <c r="J18" s="15"/>
      <c r="K18" s="13" t="str">
        <f t="shared" si="0"/>
        <v>https://en.wikipedia.org/wiki/Audubon,_New_Jersey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</row>
    <row r="19" spans="1:47" ht="16" customHeight="1" x14ac:dyDescent="0.2">
      <c r="A19" s="13" t="s">
        <v>127</v>
      </c>
      <c r="B19" s="13" t="s">
        <v>123</v>
      </c>
      <c r="C19" s="13" t="s">
        <v>128</v>
      </c>
      <c r="D19" s="13" t="s">
        <v>80</v>
      </c>
      <c r="E19" s="13" t="s">
        <v>68</v>
      </c>
      <c r="F19" s="13"/>
      <c r="G19" s="13"/>
      <c r="H19" s="14"/>
      <c r="I19" s="13"/>
      <c r="J19" s="13"/>
      <c r="K19" s="13" t="str">
        <f t="shared" si="0"/>
        <v>https://en.wikipedia.org/wiki/Audubon_Park,_New_Jersey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</row>
    <row r="20" spans="1:47" ht="16" customHeight="1" x14ac:dyDescent="0.2">
      <c r="A20" s="15" t="s">
        <v>129</v>
      </c>
      <c r="B20" s="15" t="s">
        <v>130</v>
      </c>
      <c r="C20" s="15" t="s">
        <v>131</v>
      </c>
      <c r="D20" s="15" t="s">
        <v>80</v>
      </c>
      <c r="E20" s="15" t="s">
        <v>68</v>
      </c>
      <c r="F20" s="15"/>
      <c r="G20" s="15"/>
      <c r="H20" s="16"/>
      <c r="I20" s="15"/>
      <c r="J20" s="15"/>
      <c r="K20" s="13" t="str">
        <f t="shared" si="0"/>
        <v>https://en.wikipedia.org/wiki/Avalon,_New_Jersey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</row>
    <row r="21" spans="1:47" ht="16" customHeight="1" x14ac:dyDescent="0.2">
      <c r="A21" s="13" t="s">
        <v>132</v>
      </c>
      <c r="B21" s="13" t="s">
        <v>59</v>
      </c>
      <c r="C21" s="13" t="s">
        <v>133</v>
      </c>
      <c r="D21" s="13" t="s">
        <v>80</v>
      </c>
      <c r="E21" s="13" t="s">
        <v>83</v>
      </c>
      <c r="F21" s="13">
        <v>104</v>
      </c>
      <c r="G21" s="13" t="s">
        <v>134</v>
      </c>
      <c r="H21" s="14">
        <v>45156</v>
      </c>
      <c r="I21" s="13" t="s">
        <v>134</v>
      </c>
      <c r="J21" s="13" t="s">
        <v>1844</v>
      </c>
      <c r="K21" s="13" t="str">
        <f t="shared" si="0"/>
        <v>https://en.wikipedia.org/wiki/Avon-by-the-Sea,_New_Jersey</v>
      </c>
      <c r="L21" s="13" t="s">
        <v>135</v>
      </c>
      <c r="M21" s="13" t="s">
        <v>136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 t="s">
        <v>137</v>
      </c>
      <c r="AM21" s="13" t="s">
        <v>136</v>
      </c>
      <c r="AN21" s="13"/>
      <c r="AO21" s="13"/>
      <c r="AP21" s="13"/>
      <c r="AQ21" s="13"/>
      <c r="AR21" s="13"/>
      <c r="AS21" s="13"/>
      <c r="AT21" s="13"/>
      <c r="AU21" s="13"/>
    </row>
    <row r="22" spans="1:47" ht="16" customHeight="1" x14ac:dyDescent="0.2">
      <c r="A22" s="15" t="s">
        <v>138</v>
      </c>
      <c r="B22" s="15" t="s">
        <v>139</v>
      </c>
      <c r="C22" s="15" t="s">
        <v>140</v>
      </c>
      <c r="D22" s="15" t="s">
        <v>61</v>
      </c>
      <c r="E22" s="15" t="s">
        <v>72</v>
      </c>
      <c r="F22" s="15">
        <v>227</v>
      </c>
      <c r="G22" t="s">
        <v>141</v>
      </c>
      <c r="H22" s="16">
        <v>45535</v>
      </c>
      <c r="I22" s="15" t="s">
        <v>1845</v>
      </c>
      <c r="J22" s="15" t="s">
        <v>1846</v>
      </c>
      <c r="K22" s="13" t="str">
        <f t="shared" si="0"/>
        <v>https://en.wikipedia.org/wiki/Barnegat_Township,_New_Jersey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</row>
    <row r="23" spans="1:47" ht="16" customHeight="1" x14ac:dyDescent="0.2">
      <c r="A23" s="13" t="s">
        <v>142</v>
      </c>
      <c r="B23" s="13" t="s">
        <v>139</v>
      </c>
      <c r="C23" s="13" t="s">
        <v>143</v>
      </c>
      <c r="D23" s="13" t="s">
        <v>80</v>
      </c>
      <c r="E23" s="13" t="s">
        <v>72</v>
      </c>
      <c r="F23" s="13">
        <v>218</v>
      </c>
      <c r="G23" t="s">
        <v>144</v>
      </c>
      <c r="H23" s="14">
        <v>45515</v>
      </c>
      <c r="I23" s="13" t="s">
        <v>144</v>
      </c>
      <c r="J23" s="13" t="s">
        <v>1847</v>
      </c>
      <c r="K23" s="13" t="str">
        <f t="shared" si="0"/>
        <v>https://en.wikipedia.org/wiki/Barnegat_Light,_New_Jersey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</row>
    <row r="24" spans="1:47" ht="16" customHeight="1" x14ac:dyDescent="0.2">
      <c r="A24" s="15" t="s">
        <v>145</v>
      </c>
      <c r="B24" s="15" t="s">
        <v>123</v>
      </c>
      <c r="C24" s="15" t="s">
        <v>146</v>
      </c>
      <c r="D24" s="15" t="s">
        <v>80</v>
      </c>
      <c r="E24" s="15" t="s">
        <v>72</v>
      </c>
      <c r="F24" s="15">
        <v>275</v>
      </c>
      <c r="G24" s="15" t="s">
        <v>147</v>
      </c>
      <c r="H24" s="67" t="s">
        <v>148</v>
      </c>
      <c r="I24" s="15" t="s">
        <v>1848</v>
      </c>
      <c r="J24" s="15" t="s">
        <v>1849</v>
      </c>
      <c r="K24" s="13" t="str">
        <f t="shared" si="0"/>
        <v>https://en.wikipedia.org/wiki/Barrington,_New_Jersey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</row>
    <row r="25" spans="1:47" ht="16" customHeight="1" x14ac:dyDescent="0.2">
      <c r="A25" s="13" t="s">
        <v>149</v>
      </c>
      <c r="B25" s="13" t="s">
        <v>150</v>
      </c>
      <c r="C25" s="13" t="s">
        <v>151</v>
      </c>
      <c r="D25" s="13" t="s">
        <v>61</v>
      </c>
      <c r="E25" s="13" t="s">
        <v>72</v>
      </c>
      <c r="F25" s="13">
        <v>224</v>
      </c>
      <c r="G25" t="s">
        <v>152</v>
      </c>
      <c r="H25" s="14">
        <v>45529</v>
      </c>
      <c r="I25" s="13" t="s">
        <v>152</v>
      </c>
      <c r="J25" s="13" t="s">
        <v>1850</v>
      </c>
      <c r="K25" s="13" t="str">
        <f t="shared" si="0"/>
        <v>https://en.wikipedia.org/wiki/Bass_River_Township,_New_Jersey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</row>
    <row r="26" spans="1:47" ht="16" customHeight="1" x14ac:dyDescent="0.2">
      <c r="A26" s="15" t="s">
        <v>153</v>
      </c>
      <c r="B26" s="15" t="s">
        <v>139</v>
      </c>
      <c r="C26" s="15" t="s">
        <v>154</v>
      </c>
      <c r="D26" s="15" t="s">
        <v>80</v>
      </c>
      <c r="E26" s="15" t="s">
        <v>72</v>
      </c>
      <c r="F26" s="15">
        <v>232</v>
      </c>
      <c r="G26" t="s">
        <v>155</v>
      </c>
      <c r="H26" s="16">
        <v>45554</v>
      </c>
      <c r="I26" s="15" t="s">
        <v>1851</v>
      </c>
      <c r="J26" s="15" t="s">
        <v>1852</v>
      </c>
      <c r="K26" s="13" t="str">
        <f t="shared" si="0"/>
        <v>https://en.wikipedia.org/wiki/Bay_Head,_New_Jersey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</row>
    <row r="27" spans="1:47" ht="16" customHeight="1" x14ac:dyDescent="0.2">
      <c r="A27" s="13" t="s">
        <v>156</v>
      </c>
      <c r="B27" s="13" t="s">
        <v>157</v>
      </c>
      <c r="C27" s="13" t="s">
        <v>158</v>
      </c>
      <c r="D27" s="13" t="s">
        <v>67</v>
      </c>
      <c r="E27" s="13" t="s">
        <v>62</v>
      </c>
      <c r="F27" s="13"/>
      <c r="G27" s="13" t="s">
        <v>159</v>
      </c>
      <c r="H27" s="14">
        <v>44746</v>
      </c>
      <c r="I27" s="13" t="s">
        <v>159</v>
      </c>
      <c r="J27" s="13" t="s">
        <v>1853</v>
      </c>
      <c r="K27" s="13" t="str">
        <f t="shared" si="0"/>
        <v>https://en.wikipedia.org/wiki/Bayonne,_New_Jersey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</row>
    <row r="28" spans="1:47" ht="16" customHeight="1" x14ac:dyDescent="0.2">
      <c r="A28" s="15" t="s">
        <v>160</v>
      </c>
      <c r="B28" s="15" t="s">
        <v>139</v>
      </c>
      <c r="C28" s="15" t="s">
        <v>161</v>
      </c>
      <c r="D28" s="15" t="s">
        <v>80</v>
      </c>
      <c r="E28" s="15" t="s">
        <v>72</v>
      </c>
      <c r="F28" s="15">
        <v>193</v>
      </c>
      <c r="G28" t="s">
        <v>162</v>
      </c>
      <c r="H28" s="16">
        <v>45416</v>
      </c>
      <c r="I28" s="15" t="s">
        <v>162</v>
      </c>
      <c r="J28" s="15" t="s">
        <v>1854</v>
      </c>
      <c r="K28" s="13" t="str">
        <f t="shared" si="0"/>
        <v>https://en.wikipedia.org/wiki/Beach_Haven,_New_Jersey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</row>
    <row r="29" spans="1:47" ht="16" customHeight="1" x14ac:dyDescent="0.2">
      <c r="A29" s="13" t="s">
        <v>163</v>
      </c>
      <c r="B29" s="13" t="s">
        <v>139</v>
      </c>
      <c r="C29" s="13" t="s">
        <v>164</v>
      </c>
      <c r="D29" s="13" t="s">
        <v>80</v>
      </c>
      <c r="E29" s="13" t="s">
        <v>83</v>
      </c>
      <c r="F29" s="13">
        <v>124</v>
      </c>
      <c r="G29" t="s">
        <v>165</v>
      </c>
      <c r="H29" s="14">
        <v>45214</v>
      </c>
      <c r="I29" s="13" t="s">
        <v>165</v>
      </c>
      <c r="J29" s="13" t="s">
        <v>1855</v>
      </c>
      <c r="K29" s="13" t="str">
        <f t="shared" si="0"/>
        <v>https://en.wikipedia.org/wiki/Beachwood,_New_Jersey</v>
      </c>
      <c r="L29" s="13" t="s">
        <v>166</v>
      </c>
      <c r="M29" s="13" t="s">
        <v>167</v>
      </c>
      <c r="N29" s="13" t="s">
        <v>168</v>
      </c>
      <c r="O29" s="13" t="s">
        <v>169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 t="s">
        <v>166</v>
      </c>
      <c r="AG29" s="13" t="s">
        <v>170</v>
      </c>
      <c r="AH29" s="13" t="s">
        <v>168</v>
      </c>
      <c r="AI29" s="13" t="s">
        <v>171</v>
      </c>
      <c r="AJ29" s="13"/>
      <c r="AK29" s="13"/>
      <c r="AL29" s="13" t="s">
        <v>172</v>
      </c>
      <c r="AM29" s="13" t="s">
        <v>167</v>
      </c>
      <c r="AN29" s="13"/>
      <c r="AO29" s="13"/>
      <c r="AP29" s="13" t="s">
        <v>173</v>
      </c>
      <c r="AQ29" s="13" t="s">
        <v>169</v>
      </c>
      <c r="AR29" s="13"/>
      <c r="AS29" s="13"/>
      <c r="AT29" s="13"/>
      <c r="AU29" s="13"/>
    </row>
    <row r="30" spans="1:47" ht="16" customHeight="1" x14ac:dyDescent="0.2">
      <c r="A30" s="15" t="s">
        <v>174</v>
      </c>
      <c r="B30" s="15" t="s">
        <v>175</v>
      </c>
      <c r="C30" s="15" t="s">
        <v>176</v>
      </c>
      <c r="D30" s="15" t="s">
        <v>61</v>
      </c>
      <c r="E30" s="15" t="s">
        <v>68</v>
      </c>
      <c r="F30" s="15"/>
      <c r="G30" s="15"/>
      <c r="H30" s="16"/>
      <c r="I30" s="15"/>
      <c r="J30" s="15"/>
      <c r="K30" s="13" t="str">
        <f t="shared" si="0"/>
        <v>https://en.wikipedia.org/wiki/Bedminster_Township,_New_Jersey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</row>
    <row r="31" spans="1:47" ht="16" customHeight="1" x14ac:dyDescent="0.2">
      <c r="A31" s="13" t="s">
        <v>177</v>
      </c>
      <c r="B31" s="13" t="s">
        <v>178</v>
      </c>
      <c r="C31" s="13" t="s">
        <v>179</v>
      </c>
      <c r="D31" s="13" t="s">
        <v>61</v>
      </c>
      <c r="E31" s="13" t="s">
        <v>68</v>
      </c>
      <c r="F31" s="13"/>
      <c r="G31" s="13"/>
      <c r="H31" s="14"/>
      <c r="I31" s="13"/>
      <c r="J31" s="13"/>
      <c r="K31" s="13" t="str">
        <f t="shared" si="0"/>
        <v>https://en.wikipedia.org/wiki/Belleville_Township,_New_Jersey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</row>
    <row r="32" spans="1:47" ht="16" customHeight="1" x14ac:dyDescent="0.2">
      <c r="A32" s="15" t="s">
        <v>180</v>
      </c>
      <c r="B32" s="15" t="s">
        <v>123</v>
      </c>
      <c r="C32" s="15" t="s">
        <v>181</v>
      </c>
      <c r="D32" s="15" t="s">
        <v>80</v>
      </c>
      <c r="E32" s="15" t="s">
        <v>72</v>
      </c>
      <c r="F32" s="15">
        <v>137</v>
      </c>
      <c r="G32" t="s">
        <v>182</v>
      </c>
      <c r="H32" s="67" t="s">
        <v>183</v>
      </c>
      <c r="I32" s="15" t="s">
        <v>182</v>
      </c>
      <c r="J32" s="15" t="s">
        <v>1856</v>
      </c>
      <c r="K32" s="13" t="str">
        <f t="shared" si="0"/>
        <v>https://en.wikipedia.org/wiki/Bellmawr,_New_Jersey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</row>
    <row r="33" spans="1:47" ht="16" customHeight="1" x14ac:dyDescent="0.2">
      <c r="A33" s="13" t="s">
        <v>184</v>
      </c>
      <c r="B33" s="13" t="s">
        <v>59</v>
      </c>
      <c r="C33" s="13" t="s">
        <v>185</v>
      </c>
      <c r="D33" s="13" t="s">
        <v>80</v>
      </c>
      <c r="E33" s="13" t="s">
        <v>62</v>
      </c>
      <c r="F33" s="13"/>
      <c r="G33" s="13" t="s">
        <v>186</v>
      </c>
      <c r="H33" s="14">
        <v>44940</v>
      </c>
      <c r="I33" s="13" t="s">
        <v>1857</v>
      </c>
      <c r="J33" s="13" t="s">
        <v>1858</v>
      </c>
      <c r="K33" s="13" t="str">
        <f t="shared" si="0"/>
        <v>https://en.wikipedia.org/wiki/Belmar,_New_Jersey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</row>
    <row r="34" spans="1:47" ht="16" customHeight="1" x14ac:dyDescent="0.2">
      <c r="A34" s="15" t="s">
        <v>187</v>
      </c>
      <c r="B34" s="15" t="s">
        <v>75</v>
      </c>
      <c r="C34" s="15" t="s">
        <v>188</v>
      </c>
      <c r="D34" s="15" t="s">
        <v>189</v>
      </c>
      <c r="E34" s="15" t="s">
        <v>72</v>
      </c>
      <c r="F34" s="15">
        <v>236</v>
      </c>
      <c r="G34" s="15" t="s">
        <v>190</v>
      </c>
      <c r="H34" s="16">
        <v>45571</v>
      </c>
      <c r="I34" s="15" t="s">
        <v>190</v>
      </c>
      <c r="J34" s="15"/>
      <c r="K34" s="13" t="str">
        <f t="shared" si="0"/>
        <v>https://en.wikipedia.org/wiki/Belvidere,_New_Jersey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</row>
    <row r="35" spans="1:47" ht="16" customHeight="1" x14ac:dyDescent="0.2">
      <c r="A35" s="13" t="s">
        <v>191</v>
      </c>
      <c r="B35" s="13" t="s">
        <v>78</v>
      </c>
      <c r="C35" s="13" t="s">
        <v>192</v>
      </c>
      <c r="D35" s="13" t="s">
        <v>80</v>
      </c>
      <c r="E35" s="13" t="s">
        <v>68</v>
      </c>
      <c r="F35" s="13"/>
      <c r="G35" s="13"/>
      <c r="H35" s="14"/>
      <c r="I35" s="13"/>
      <c r="J35" s="13"/>
      <c r="K35" s="13" t="str">
        <f t="shared" ref="K35:K66" si="1">IF(A35="","","https://en.wikipedia.org/wiki/"&amp;SUBSTITUTE(A35," ","_")&amp;IF(D35="township","_Township","")&amp;",_New_Jersey")</f>
        <v>https://en.wikipedia.org/wiki/Bergenfield,_New_Jersey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</row>
    <row r="36" spans="1:47" ht="16" customHeight="1" x14ac:dyDescent="0.2">
      <c r="A36" s="15" t="s">
        <v>193</v>
      </c>
      <c r="B36" s="15" t="s">
        <v>139</v>
      </c>
      <c r="C36" s="15" t="s">
        <v>194</v>
      </c>
      <c r="D36" s="15" t="s">
        <v>61</v>
      </c>
      <c r="E36" s="15" t="s">
        <v>72</v>
      </c>
      <c r="F36" s="15">
        <v>219</v>
      </c>
      <c r="G36" t="s">
        <v>195</v>
      </c>
      <c r="H36" s="16">
        <v>45520</v>
      </c>
      <c r="I36" s="15" t="s">
        <v>1859</v>
      </c>
      <c r="J36" s="15" t="s">
        <v>1860</v>
      </c>
      <c r="K36" s="13" t="str">
        <f t="shared" si="1"/>
        <v>https://en.wikipedia.org/wiki/Berkeley_Township,_New_Jersey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</row>
    <row r="37" spans="1:47" ht="16" customHeight="1" x14ac:dyDescent="0.2">
      <c r="A37" s="13" t="s">
        <v>196</v>
      </c>
      <c r="B37" s="13" t="s">
        <v>197</v>
      </c>
      <c r="C37" s="13" t="s">
        <v>198</v>
      </c>
      <c r="D37" s="13" t="s">
        <v>61</v>
      </c>
      <c r="E37" s="13" t="s">
        <v>68</v>
      </c>
      <c r="F37" s="13"/>
      <c r="G37" s="13"/>
      <c r="H37" s="14"/>
      <c r="I37" s="13"/>
      <c r="J37" s="13"/>
      <c r="K37" s="13" t="str">
        <f t="shared" si="1"/>
        <v>https://en.wikipedia.org/wiki/Berkeley_Heights_Township,_New_Jersey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</row>
    <row r="38" spans="1:47" ht="16" customHeight="1" x14ac:dyDescent="0.2">
      <c r="A38" s="15" t="s">
        <v>199</v>
      </c>
      <c r="B38" s="15" t="s">
        <v>123</v>
      </c>
      <c r="C38" s="15" t="s">
        <v>200</v>
      </c>
      <c r="D38" s="15" t="s">
        <v>80</v>
      </c>
      <c r="E38" s="15" t="s">
        <v>68</v>
      </c>
      <c r="F38" s="15"/>
      <c r="G38" s="15"/>
      <c r="H38" s="16"/>
      <c r="I38" s="15"/>
      <c r="J38" s="15"/>
      <c r="K38" s="13" t="str">
        <f t="shared" si="1"/>
        <v>https://en.wikipedia.org/wiki/Berlin,_New_Jersey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</row>
    <row r="39" spans="1:47" ht="16" customHeight="1" x14ac:dyDescent="0.2">
      <c r="A39" s="13" t="s">
        <v>199</v>
      </c>
      <c r="B39" s="13" t="s">
        <v>123</v>
      </c>
      <c r="C39" s="13" t="s">
        <v>201</v>
      </c>
      <c r="D39" s="13" t="s">
        <v>61</v>
      </c>
      <c r="E39" s="13" t="s">
        <v>68</v>
      </c>
      <c r="F39" s="13"/>
      <c r="G39" s="13"/>
      <c r="H39" s="14"/>
      <c r="I39" s="13"/>
      <c r="J39" s="13"/>
      <c r="K39" s="13" t="str">
        <f t="shared" si="1"/>
        <v>https://en.wikipedia.org/wiki/Berlin_Township,_New_Jersey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</row>
    <row r="40" spans="1:47" ht="16" customHeight="1" x14ac:dyDescent="0.2">
      <c r="A40" s="15" t="s">
        <v>202</v>
      </c>
      <c r="B40" s="15" t="s">
        <v>175</v>
      </c>
      <c r="C40" s="15" t="s">
        <v>203</v>
      </c>
      <c r="D40" s="15" t="s">
        <v>61</v>
      </c>
      <c r="E40" s="15" t="s">
        <v>62</v>
      </c>
      <c r="F40" s="15"/>
      <c r="G40" s="15" t="s">
        <v>204</v>
      </c>
      <c r="H40" s="16">
        <v>42861</v>
      </c>
      <c r="I40" s="15" t="s">
        <v>204</v>
      </c>
      <c r="J40" s="15" t="s">
        <v>1861</v>
      </c>
      <c r="K40" s="13" t="str">
        <f t="shared" si="1"/>
        <v>https://en.wikipedia.org/wiki/Bernards_Township,_New_Jersey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</row>
    <row r="41" spans="1:47" ht="16" customHeight="1" x14ac:dyDescent="0.2">
      <c r="A41" s="13" t="s">
        <v>205</v>
      </c>
      <c r="B41" s="13" t="s">
        <v>175</v>
      </c>
      <c r="C41" s="13" t="s">
        <v>206</v>
      </c>
      <c r="D41" s="13" t="s">
        <v>80</v>
      </c>
      <c r="E41" s="13" t="s">
        <v>72</v>
      </c>
      <c r="F41" s="13">
        <v>282</v>
      </c>
      <c r="G41" s="13" t="s">
        <v>207</v>
      </c>
      <c r="H41" s="14">
        <v>45948</v>
      </c>
      <c r="I41" s="13" t="s">
        <v>207</v>
      </c>
      <c r="J41" s="13" t="s">
        <v>1862</v>
      </c>
      <c r="K41" s="13" t="str">
        <f t="shared" si="1"/>
        <v>https://en.wikipedia.org/wiki/Bernardsville,_New_Jersey</v>
      </c>
      <c r="L41" s="13" t="s">
        <v>208</v>
      </c>
      <c r="M41" s="13" t="s">
        <v>209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 t="s">
        <v>210</v>
      </c>
      <c r="AM41" s="13" t="s">
        <v>209</v>
      </c>
      <c r="AN41" s="13"/>
      <c r="AO41" s="13"/>
      <c r="AP41" s="13"/>
      <c r="AQ41" s="13"/>
      <c r="AR41" s="13"/>
      <c r="AS41" s="13"/>
      <c r="AT41" s="13"/>
      <c r="AU41" s="13"/>
    </row>
    <row r="42" spans="1:47" ht="16" customHeight="1" x14ac:dyDescent="0.2">
      <c r="A42" s="15" t="s">
        <v>211</v>
      </c>
      <c r="B42" s="15" t="s">
        <v>70</v>
      </c>
      <c r="C42" s="15" t="s">
        <v>212</v>
      </c>
      <c r="D42" s="15" t="s">
        <v>61</v>
      </c>
      <c r="E42" s="15" t="s">
        <v>68</v>
      </c>
      <c r="F42" s="15"/>
      <c r="G42" s="15"/>
      <c r="H42" s="16"/>
      <c r="I42" s="15"/>
      <c r="J42" s="15"/>
      <c r="K42" s="13" t="str">
        <f t="shared" si="1"/>
        <v>https://en.wikipedia.org/wiki/Bethlehem_Township,_New_Jersey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</row>
    <row r="43" spans="1:47" ht="16" customHeight="1" x14ac:dyDescent="0.2">
      <c r="A43" s="13" t="s">
        <v>213</v>
      </c>
      <c r="B43" s="13" t="s">
        <v>150</v>
      </c>
      <c r="C43" s="13" t="s">
        <v>214</v>
      </c>
      <c r="D43" s="13" t="s">
        <v>67</v>
      </c>
      <c r="E43" s="13" t="s">
        <v>72</v>
      </c>
      <c r="F43" s="13">
        <v>248</v>
      </c>
      <c r="G43" t="s">
        <v>215</v>
      </c>
      <c r="H43" s="14">
        <v>45613</v>
      </c>
      <c r="I43" s="13" t="s">
        <v>215</v>
      </c>
      <c r="J43" s="13"/>
      <c r="K43" s="13" t="str">
        <f t="shared" si="1"/>
        <v>https://en.wikipedia.org/wiki/Beverly,_New_Jersey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</row>
    <row r="44" spans="1:47" ht="16" customHeight="1" x14ac:dyDescent="0.2">
      <c r="A44" s="15" t="s">
        <v>216</v>
      </c>
      <c r="B44" s="15" t="s">
        <v>75</v>
      </c>
      <c r="C44" s="15" t="s">
        <v>217</v>
      </c>
      <c r="D44" s="15" t="s">
        <v>61</v>
      </c>
      <c r="E44" s="15" t="s">
        <v>83</v>
      </c>
      <c r="F44" s="15">
        <v>123</v>
      </c>
      <c r="G44" s="15" t="s">
        <v>218</v>
      </c>
      <c r="H44" s="16">
        <v>45212</v>
      </c>
      <c r="I44" s="15" t="s">
        <v>218</v>
      </c>
      <c r="J44" s="15" t="s">
        <v>1863</v>
      </c>
      <c r="K44" s="13" t="str">
        <f t="shared" si="1"/>
        <v>https://en.wikipedia.org/wiki/Blairstown_Township,_New_Jersey</v>
      </c>
      <c r="L44" s="15" t="s">
        <v>219</v>
      </c>
      <c r="M44" s="15" t="s">
        <v>220</v>
      </c>
      <c r="N44" s="15" t="s">
        <v>221</v>
      </c>
      <c r="O44" s="15" t="s">
        <v>222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 t="s">
        <v>223</v>
      </c>
      <c r="AM44" s="15" t="s">
        <v>220</v>
      </c>
      <c r="AN44" s="15"/>
      <c r="AO44" s="15"/>
      <c r="AP44" s="15" t="s">
        <v>224</v>
      </c>
      <c r="AQ44" s="15" t="s">
        <v>225</v>
      </c>
      <c r="AR44" s="15"/>
      <c r="AS44" s="15"/>
      <c r="AT44" s="15"/>
      <c r="AU44" s="15"/>
    </row>
    <row r="45" spans="1:47" ht="16" customHeight="1" x14ac:dyDescent="0.2">
      <c r="A45" s="13" t="s">
        <v>226</v>
      </c>
      <c r="B45" s="13" t="s">
        <v>178</v>
      </c>
      <c r="C45" s="13" t="s">
        <v>227</v>
      </c>
      <c r="D45" s="13" t="s">
        <v>61</v>
      </c>
      <c r="E45" s="13" t="s">
        <v>68</v>
      </c>
      <c r="F45" s="13"/>
      <c r="G45" s="13"/>
      <c r="H45" s="14"/>
      <c r="I45" s="13"/>
      <c r="J45" s="13"/>
      <c r="K45" s="13" t="str">
        <f t="shared" si="1"/>
        <v>https://en.wikipedia.org/wiki/Bloomfield_Township,_New_Jersey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</row>
    <row r="46" spans="1:47" ht="16" customHeight="1" x14ac:dyDescent="0.2">
      <c r="A46" s="15" t="s">
        <v>228</v>
      </c>
      <c r="B46" s="15" t="s">
        <v>229</v>
      </c>
      <c r="C46" s="15" t="s">
        <v>230</v>
      </c>
      <c r="D46" s="15" t="s">
        <v>80</v>
      </c>
      <c r="E46" s="15" t="s">
        <v>68</v>
      </c>
      <c r="F46" s="15"/>
      <c r="G46" s="15"/>
      <c r="H46" s="16"/>
      <c r="I46" s="15"/>
      <c r="J46" s="15"/>
      <c r="K46" s="13" t="str">
        <f t="shared" si="1"/>
        <v>https://en.wikipedia.org/wiki/Bloomingdale,_New_Jersey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</row>
    <row r="47" spans="1:47" ht="16" customHeight="1" x14ac:dyDescent="0.2">
      <c r="A47" s="13" t="s">
        <v>231</v>
      </c>
      <c r="B47" s="13" t="s">
        <v>70</v>
      </c>
      <c r="C47" s="13" t="s">
        <v>232</v>
      </c>
      <c r="D47" s="13" t="s">
        <v>80</v>
      </c>
      <c r="E47" s="13" t="s">
        <v>68</v>
      </c>
      <c r="F47" s="13"/>
      <c r="G47" s="13"/>
      <c r="H47" s="14"/>
      <c r="I47" s="13"/>
      <c r="J47" s="13"/>
      <c r="K47" s="13" t="str">
        <f t="shared" si="1"/>
        <v>https://en.wikipedia.org/wiki/Bloomsbury,_New_Jersey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</row>
    <row r="48" spans="1:47" ht="16" customHeight="1" x14ac:dyDescent="0.2">
      <c r="A48" s="15" t="s">
        <v>233</v>
      </c>
      <c r="B48" s="15" t="s">
        <v>78</v>
      </c>
      <c r="C48" s="15" t="s">
        <v>234</v>
      </c>
      <c r="D48" s="15" t="s">
        <v>80</v>
      </c>
      <c r="E48" s="15" t="s">
        <v>68</v>
      </c>
      <c r="F48" s="15"/>
      <c r="G48" s="15"/>
      <c r="H48" s="16"/>
      <c r="I48" s="15"/>
      <c r="J48" s="15"/>
      <c r="K48" s="13" t="str">
        <f t="shared" si="1"/>
        <v>https://en.wikipedia.org/wiki/Bogota,_New_Jersey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</row>
    <row r="49" spans="1:47" ht="16" customHeight="1" x14ac:dyDescent="0.2">
      <c r="A49" s="13" t="s">
        <v>235</v>
      </c>
      <c r="B49" s="13" t="s">
        <v>236</v>
      </c>
      <c r="C49" s="13" t="s">
        <v>237</v>
      </c>
      <c r="D49" s="13" t="s">
        <v>189</v>
      </c>
      <c r="E49" s="13" t="s">
        <v>68</v>
      </c>
      <c r="F49" s="13"/>
      <c r="G49" s="13"/>
      <c r="H49" s="14"/>
      <c r="I49" s="13"/>
      <c r="J49" s="13"/>
      <c r="K49" s="13" t="str">
        <f t="shared" si="1"/>
        <v>https://en.wikipedia.org/wiki/Boonton,_New_Jersey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</row>
    <row r="50" spans="1:47" ht="16" customHeight="1" x14ac:dyDescent="0.2">
      <c r="A50" s="15" t="s">
        <v>235</v>
      </c>
      <c r="B50" s="15" t="s">
        <v>236</v>
      </c>
      <c r="C50" s="15" t="s">
        <v>238</v>
      </c>
      <c r="D50" s="15" t="s">
        <v>61</v>
      </c>
      <c r="E50" s="15" t="s">
        <v>68</v>
      </c>
      <c r="F50" s="15"/>
      <c r="G50" s="15"/>
      <c r="H50" s="16"/>
      <c r="I50" s="15"/>
      <c r="J50" s="15"/>
      <c r="K50" s="13" t="str">
        <f t="shared" si="1"/>
        <v>https://en.wikipedia.org/wiki/Boonton_Township,_New_Jersey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</row>
    <row r="51" spans="1:47" ht="16" customHeight="1" x14ac:dyDescent="0.2">
      <c r="A51" s="13" t="s">
        <v>239</v>
      </c>
      <c r="B51" s="13" t="s">
        <v>150</v>
      </c>
      <c r="C51" s="13" t="s">
        <v>240</v>
      </c>
      <c r="D51" s="13" t="s">
        <v>67</v>
      </c>
      <c r="E51" s="13" t="s">
        <v>83</v>
      </c>
      <c r="F51" s="13">
        <v>130</v>
      </c>
      <c r="G51" t="s">
        <v>241</v>
      </c>
      <c r="H51" s="14">
        <v>45221</v>
      </c>
      <c r="I51" s="13" t="s">
        <v>241</v>
      </c>
      <c r="J51" s="13" t="s">
        <v>242</v>
      </c>
      <c r="K51" s="13" t="str">
        <f t="shared" si="1"/>
        <v>https://en.wikipedia.org/wiki/Bordentown,_New_Jersey</v>
      </c>
      <c r="L51" s="13" t="s">
        <v>2126</v>
      </c>
      <c r="M51" s="13" t="s">
        <v>243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 t="s">
        <v>2126</v>
      </c>
      <c r="AG51" s="13" t="s">
        <v>2127</v>
      </c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</row>
    <row r="52" spans="1:47" ht="16" customHeight="1" x14ac:dyDescent="0.2">
      <c r="A52" s="15" t="s">
        <v>239</v>
      </c>
      <c r="B52" s="15" t="s">
        <v>150</v>
      </c>
      <c r="C52" s="15" t="s">
        <v>244</v>
      </c>
      <c r="D52" s="15" t="s">
        <v>61</v>
      </c>
      <c r="E52" s="15" t="s">
        <v>68</v>
      </c>
      <c r="F52" s="15"/>
      <c r="G52" s="15"/>
      <c r="H52" s="16"/>
      <c r="I52" s="15"/>
      <c r="J52" s="15"/>
      <c r="K52" s="13" t="str">
        <f t="shared" si="1"/>
        <v>https://en.wikipedia.org/wiki/Bordentown_Township,_New_Jersey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</row>
    <row r="53" spans="1:47" ht="16" customHeight="1" x14ac:dyDescent="0.2">
      <c r="A53" s="13" t="s">
        <v>245</v>
      </c>
      <c r="B53" s="13" t="s">
        <v>175</v>
      </c>
      <c r="C53" s="13" t="s">
        <v>246</v>
      </c>
      <c r="D53" s="13" t="s">
        <v>80</v>
      </c>
      <c r="E53" s="13" t="s">
        <v>68</v>
      </c>
      <c r="F53" s="13"/>
      <c r="G53" s="13"/>
      <c r="H53" s="14"/>
      <c r="I53" s="13"/>
      <c r="J53" s="13"/>
      <c r="K53" s="13" t="str">
        <f t="shared" si="1"/>
        <v>https://en.wikipedia.org/wiki/Bound_Brook,_New_Jersey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</row>
    <row r="54" spans="1:47" ht="16" customHeight="1" x14ac:dyDescent="0.2">
      <c r="A54" s="15" t="s">
        <v>247</v>
      </c>
      <c r="B54" s="15" t="s">
        <v>59</v>
      </c>
      <c r="C54" s="15" t="s">
        <v>248</v>
      </c>
      <c r="D54" s="15" t="s">
        <v>80</v>
      </c>
      <c r="E54" s="15" t="s">
        <v>72</v>
      </c>
      <c r="F54" s="15">
        <v>257</v>
      </c>
      <c r="G54" s="15" t="s">
        <v>249</v>
      </c>
      <c r="H54" s="16">
        <v>45655</v>
      </c>
      <c r="I54" s="15" t="s">
        <v>249</v>
      </c>
      <c r="J54" s="15" t="s">
        <v>1864</v>
      </c>
      <c r="K54" s="13" t="str">
        <f t="shared" si="1"/>
        <v>https://en.wikipedia.org/wiki/Bradley_Beach,_New_Jersey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</row>
    <row r="55" spans="1:47" ht="16" customHeight="1" x14ac:dyDescent="0.2">
      <c r="A55" s="13" t="s">
        <v>250</v>
      </c>
      <c r="B55" s="13" t="s">
        <v>175</v>
      </c>
      <c r="C55" s="13" t="s">
        <v>251</v>
      </c>
      <c r="D55" s="13" t="s">
        <v>61</v>
      </c>
      <c r="E55" s="13" t="s">
        <v>68</v>
      </c>
      <c r="F55" s="13"/>
      <c r="G55" s="13"/>
      <c r="H55" s="14"/>
      <c r="I55" s="13"/>
      <c r="J55" s="13"/>
      <c r="K55" s="13" t="str">
        <f t="shared" si="1"/>
        <v>https://en.wikipedia.org/wiki/Branchburg_Township,_New_Jersey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</row>
    <row r="56" spans="1:47" ht="16" customHeight="1" x14ac:dyDescent="0.2">
      <c r="A56" s="15" t="s">
        <v>252</v>
      </c>
      <c r="B56" s="15" t="s">
        <v>106</v>
      </c>
      <c r="C56" s="15" t="s">
        <v>253</v>
      </c>
      <c r="D56" s="15" t="s">
        <v>80</v>
      </c>
      <c r="E56" s="15" t="s">
        <v>72</v>
      </c>
      <c r="F56" s="15">
        <v>194</v>
      </c>
      <c r="G56" s="15" t="s">
        <v>254</v>
      </c>
      <c r="H56" s="16">
        <v>45435</v>
      </c>
      <c r="I56" s="15" t="s">
        <v>254</v>
      </c>
      <c r="J56" s="15" t="s">
        <v>1865</v>
      </c>
      <c r="K56" s="13" t="str">
        <f t="shared" si="1"/>
        <v>https://en.wikipedia.org/wiki/Branchville,_New_Jersey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</row>
    <row r="57" spans="1:47" ht="16" customHeight="1" x14ac:dyDescent="0.2">
      <c r="A57" s="13" t="s">
        <v>255</v>
      </c>
      <c r="B57" s="13" t="s">
        <v>139</v>
      </c>
      <c r="C57" s="13" t="s">
        <v>256</v>
      </c>
      <c r="D57" s="13" t="s">
        <v>61</v>
      </c>
      <c r="E57" s="13" t="s">
        <v>83</v>
      </c>
      <c r="F57" s="13">
        <v>100</v>
      </c>
      <c r="G57" t="s">
        <v>257</v>
      </c>
      <c r="H57" s="14">
        <v>45150</v>
      </c>
      <c r="I57" s="13"/>
      <c r="J57" s="13"/>
      <c r="K57" s="13" t="str">
        <f t="shared" si="1"/>
        <v>https://en.wikipedia.org/wiki/Brick_Township,_New_Jersey</v>
      </c>
      <c r="L57" s="13" t="s">
        <v>258</v>
      </c>
      <c r="M57" s="13" t="s">
        <v>259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 t="s">
        <v>258</v>
      </c>
      <c r="AG57" s="13" t="s">
        <v>260</v>
      </c>
      <c r="AH57" s="13"/>
      <c r="AI57" s="13"/>
      <c r="AJ57" s="13"/>
      <c r="AK57" s="13"/>
      <c r="AL57" s="13" t="s">
        <v>261</v>
      </c>
      <c r="AM57" s="13" t="s">
        <v>259</v>
      </c>
      <c r="AN57" s="13"/>
      <c r="AO57" s="13"/>
      <c r="AP57" s="13"/>
      <c r="AQ57" s="13"/>
      <c r="AR57" s="13"/>
      <c r="AS57" s="13"/>
      <c r="AT57" s="13"/>
      <c r="AU57" s="13"/>
    </row>
    <row r="58" spans="1:47" ht="16" customHeight="1" x14ac:dyDescent="0.2">
      <c r="A58" s="15" t="s">
        <v>262</v>
      </c>
      <c r="B58" s="15" t="s">
        <v>263</v>
      </c>
      <c r="C58" s="15" t="s">
        <v>264</v>
      </c>
      <c r="D58" s="15" t="s">
        <v>67</v>
      </c>
      <c r="E58" s="15" t="s">
        <v>72</v>
      </c>
      <c r="F58" s="15">
        <v>201</v>
      </c>
      <c r="G58" t="s">
        <v>265</v>
      </c>
      <c r="H58" s="16">
        <v>111208</v>
      </c>
      <c r="I58" s="15" t="s">
        <v>266</v>
      </c>
      <c r="J58" s="71" t="s">
        <v>267</v>
      </c>
      <c r="K58" s="13" t="str">
        <f t="shared" si="1"/>
        <v>https://en.wikipedia.org/wiki/Bridgeton,_New_Jersey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</row>
    <row r="59" spans="1:47" ht="16" customHeight="1" x14ac:dyDescent="0.2">
      <c r="A59" s="13" t="s">
        <v>268</v>
      </c>
      <c r="B59" s="13" t="s">
        <v>175</v>
      </c>
      <c r="C59" s="13" t="s">
        <v>269</v>
      </c>
      <c r="D59" s="13" t="s">
        <v>61</v>
      </c>
      <c r="E59" s="13" t="s">
        <v>62</v>
      </c>
      <c r="F59" s="13"/>
      <c r="G59" s="13" t="s">
        <v>270</v>
      </c>
      <c r="H59" s="14">
        <v>43611</v>
      </c>
      <c r="I59" s="13" t="s">
        <v>270</v>
      </c>
      <c r="J59" s="13" t="s">
        <v>1866</v>
      </c>
      <c r="K59" s="13" t="str">
        <f t="shared" si="1"/>
        <v>https://en.wikipedia.org/wiki/Bridgewater_Township,_New_Jersey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</row>
    <row r="60" spans="1:47" ht="16" customHeight="1" x14ac:dyDescent="0.2">
      <c r="A60" s="15" t="s">
        <v>271</v>
      </c>
      <c r="B60" s="15" t="s">
        <v>59</v>
      </c>
      <c r="C60" s="15" t="s">
        <v>272</v>
      </c>
      <c r="D60" s="15" t="s">
        <v>80</v>
      </c>
      <c r="E60" s="15" t="s">
        <v>83</v>
      </c>
      <c r="F60" s="15">
        <v>110</v>
      </c>
      <c r="G60" s="15" t="s">
        <v>273</v>
      </c>
      <c r="H60" s="16">
        <v>45171</v>
      </c>
      <c r="I60" s="15" t="s">
        <v>273</v>
      </c>
      <c r="J60" s="15" t="s">
        <v>1867</v>
      </c>
      <c r="K60" s="13" t="str">
        <f t="shared" si="1"/>
        <v>https://en.wikipedia.org/wiki/Brielle,_New_Jersey</v>
      </c>
      <c r="L60" s="15" t="s">
        <v>274</v>
      </c>
      <c r="M60" s="15" t="s">
        <v>275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 t="s">
        <v>276</v>
      </c>
      <c r="AM60" s="15" t="s">
        <v>275</v>
      </c>
      <c r="AN60" s="15"/>
      <c r="AO60" s="15"/>
      <c r="AP60" s="15"/>
      <c r="AQ60" s="15"/>
      <c r="AR60" s="15"/>
      <c r="AS60" s="15"/>
      <c r="AT60" s="15"/>
      <c r="AU60" s="15"/>
    </row>
    <row r="61" spans="1:47" ht="16" customHeight="1" x14ac:dyDescent="0.2">
      <c r="A61" s="13" t="s">
        <v>277</v>
      </c>
      <c r="B61" s="13" t="s">
        <v>65</v>
      </c>
      <c r="C61" s="13" t="s">
        <v>278</v>
      </c>
      <c r="D61" s="13" t="s">
        <v>67</v>
      </c>
      <c r="E61" s="13" t="s">
        <v>62</v>
      </c>
      <c r="F61" s="13"/>
      <c r="G61" s="13" t="s">
        <v>279</v>
      </c>
      <c r="H61" s="14">
        <v>43678</v>
      </c>
      <c r="I61" s="13" t="s">
        <v>279</v>
      </c>
      <c r="J61" s="13" t="s">
        <v>280</v>
      </c>
      <c r="K61" s="13" t="str">
        <f t="shared" si="1"/>
        <v>https://en.wikipedia.org/wiki/Brigantine,_New_Jersey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</row>
    <row r="62" spans="1:47" ht="16" customHeight="1" x14ac:dyDescent="0.2">
      <c r="A62" s="15" t="s">
        <v>281</v>
      </c>
      <c r="B62" s="15" t="s">
        <v>123</v>
      </c>
      <c r="C62" s="15" t="s">
        <v>282</v>
      </c>
      <c r="D62" s="15" t="s">
        <v>80</v>
      </c>
      <c r="E62" s="15" t="s">
        <v>72</v>
      </c>
      <c r="F62" s="15">
        <v>274</v>
      </c>
      <c r="G62" s="15" t="s">
        <v>283</v>
      </c>
      <c r="H62" s="67" t="s">
        <v>148</v>
      </c>
      <c r="I62" s="15" t="s">
        <v>283</v>
      </c>
      <c r="J62" s="15" t="s">
        <v>1868</v>
      </c>
      <c r="K62" s="13" t="str">
        <f t="shared" si="1"/>
        <v>https://en.wikipedia.org/wiki/Brooklawn,_New_Jersey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</row>
    <row r="63" spans="1:47" ht="16" customHeight="1" x14ac:dyDescent="0.2">
      <c r="A63" s="13" t="s">
        <v>284</v>
      </c>
      <c r="B63" s="13" t="s">
        <v>65</v>
      </c>
      <c r="C63" s="13" t="s">
        <v>285</v>
      </c>
      <c r="D63" s="13" t="s">
        <v>80</v>
      </c>
      <c r="E63" s="13" t="s">
        <v>68</v>
      </c>
      <c r="F63" s="13"/>
      <c r="G63" s="13"/>
      <c r="H63" s="14"/>
      <c r="I63" s="13"/>
      <c r="J63" s="13"/>
      <c r="K63" s="13" t="str">
        <f t="shared" si="1"/>
        <v>https://en.wikipedia.org/wiki/Buena,_New_Jersey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</row>
    <row r="64" spans="1:47" ht="16" customHeight="1" x14ac:dyDescent="0.2">
      <c r="A64" s="15" t="s">
        <v>286</v>
      </c>
      <c r="B64" s="15" t="s">
        <v>65</v>
      </c>
      <c r="C64" s="15" t="s">
        <v>287</v>
      </c>
      <c r="D64" s="15" t="s">
        <v>61</v>
      </c>
      <c r="E64" s="15" t="s">
        <v>68</v>
      </c>
      <c r="F64" s="15"/>
      <c r="G64" s="15"/>
      <c r="H64" s="16"/>
      <c r="I64" s="15"/>
      <c r="J64" s="15"/>
      <c r="K64" s="13" t="str">
        <f t="shared" si="1"/>
        <v>https://en.wikipedia.org/wiki/Buena_Vista_Township,_New_Jersey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</row>
    <row r="65" spans="1:47" ht="16" customHeight="1" x14ac:dyDescent="0.2">
      <c r="A65" s="13" t="s">
        <v>150</v>
      </c>
      <c r="B65" s="13" t="s">
        <v>150</v>
      </c>
      <c r="C65" s="13" t="s">
        <v>288</v>
      </c>
      <c r="D65" s="13" t="s">
        <v>67</v>
      </c>
      <c r="E65" s="13" t="s">
        <v>72</v>
      </c>
      <c r="F65" s="13">
        <v>247</v>
      </c>
      <c r="G65" t="s">
        <v>289</v>
      </c>
      <c r="H65" s="14">
        <v>45613</v>
      </c>
      <c r="I65" s="13" t="s">
        <v>289</v>
      </c>
      <c r="J65" s="13" t="s">
        <v>1869</v>
      </c>
      <c r="K65" s="13" t="str">
        <f t="shared" si="1"/>
        <v>https://en.wikipedia.org/wiki/Burlington,_New_Jersey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</row>
    <row r="66" spans="1:47" ht="16" customHeight="1" x14ac:dyDescent="0.2">
      <c r="A66" s="15" t="s">
        <v>150</v>
      </c>
      <c r="B66" s="15" t="s">
        <v>150</v>
      </c>
      <c r="C66" s="15" t="s">
        <v>290</v>
      </c>
      <c r="D66" s="15" t="s">
        <v>61</v>
      </c>
      <c r="E66" s="15" t="s">
        <v>68</v>
      </c>
      <c r="F66" s="15"/>
      <c r="G66" s="15"/>
      <c r="H66" s="16"/>
      <c r="I66" s="15"/>
      <c r="J66" s="15"/>
      <c r="K66" s="13" t="str">
        <f t="shared" si="1"/>
        <v>https://en.wikipedia.org/wiki/Burlington_Township,_New_Jersey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</row>
    <row r="67" spans="1:47" ht="16" customHeight="1" x14ac:dyDescent="0.2">
      <c r="A67" s="13" t="s">
        <v>291</v>
      </c>
      <c r="B67" s="13" t="s">
        <v>236</v>
      </c>
      <c r="C67" s="13" t="s">
        <v>292</v>
      </c>
      <c r="D67" s="13" t="s">
        <v>80</v>
      </c>
      <c r="E67" s="13" t="s">
        <v>68</v>
      </c>
      <c r="F67" s="13"/>
      <c r="G67" s="13"/>
      <c r="H67" s="14"/>
      <c r="I67" s="13"/>
      <c r="J67" s="13"/>
      <c r="K67" s="13" t="str">
        <f t="shared" ref="K67:K98" si="2">IF(A67="","","https://en.wikipedia.org/wiki/"&amp;SUBSTITUTE(A67," ","_")&amp;IF(D67="township","_Township","")&amp;",_New_Jersey")</f>
        <v>https://en.wikipedia.org/wiki/Butler,_New_Jersey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</row>
    <row r="68" spans="1:47" ht="16" customHeight="1" x14ac:dyDescent="0.2">
      <c r="A68" s="15" t="s">
        <v>293</v>
      </c>
      <c r="B68" s="15" t="s">
        <v>106</v>
      </c>
      <c r="C68" s="15" t="s">
        <v>294</v>
      </c>
      <c r="D68" s="15" t="s">
        <v>61</v>
      </c>
      <c r="E68" s="15" t="s">
        <v>68</v>
      </c>
      <c r="F68" s="15"/>
      <c r="G68" s="15"/>
      <c r="H68" s="16"/>
      <c r="I68" s="15"/>
      <c r="J68" s="15"/>
      <c r="K68" s="13" t="str">
        <f t="shared" si="2"/>
        <v>https://en.wikipedia.org/wiki/Byram_Township,_New_Jersey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</row>
    <row r="69" spans="1:47" ht="16" customHeight="1" x14ac:dyDescent="0.2">
      <c r="A69" s="13" t="s">
        <v>295</v>
      </c>
      <c r="B69" s="13" t="s">
        <v>178</v>
      </c>
      <c r="C69" s="13" t="s">
        <v>296</v>
      </c>
      <c r="D69" s="13" t="s">
        <v>80</v>
      </c>
      <c r="E69" s="13" t="s">
        <v>68</v>
      </c>
      <c r="F69" s="13"/>
      <c r="G69" s="13"/>
      <c r="H69" s="14"/>
      <c r="I69" s="13"/>
      <c r="J69" s="13"/>
      <c r="K69" s="13" t="str">
        <f t="shared" si="2"/>
        <v>https://en.wikipedia.org/wiki/Caldwell,_New_Jersey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</row>
    <row r="70" spans="1:47" ht="16" customHeight="1" x14ac:dyDescent="0.2">
      <c r="A70" s="15" t="s">
        <v>297</v>
      </c>
      <c r="B70" s="15" t="s">
        <v>70</v>
      </c>
      <c r="C70" s="15" t="s">
        <v>298</v>
      </c>
      <c r="D70" s="15" t="s">
        <v>80</v>
      </c>
      <c r="E70" s="15" t="s">
        <v>72</v>
      </c>
      <c r="F70" s="15">
        <v>253</v>
      </c>
      <c r="G70" s="15" t="s">
        <v>299</v>
      </c>
      <c r="H70" s="16">
        <v>45641</v>
      </c>
      <c r="I70" s="15" t="s">
        <v>1895</v>
      </c>
      <c r="J70" s="15" t="s">
        <v>1896</v>
      </c>
      <c r="K70" s="13" t="str">
        <f t="shared" si="2"/>
        <v>https://en.wikipedia.org/wiki/Califon,_New_Jersey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</row>
    <row r="71" spans="1:47" ht="16" customHeight="1" x14ac:dyDescent="0.2">
      <c r="A71" s="13" t="s">
        <v>123</v>
      </c>
      <c r="B71" s="13" t="s">
        <v>123</v>
      </c>
      <c r="C71" s="13" t="s">
        <v>300</v>
      </c>
      <c r="D71" s="13" t="s">
        <v>67</v>
      </c>
      <c r="E71" s="13" t="s">
        <v>72</v>
      </c>
      <c r="F71" s="13">
        <v>289</v>
      </c>
      <c r="G71" s="13" t="s">
        <v>2130</v>
      </c>
      <c r="H71" s="14">
        <v>46213</v>
      </c>
      <c r="I71" s="13" t="s">
        <v>2130</v>
      </c>
      <c r="J71" s="13" t="s">
        <v>2131</v>
      </c>
      <c r="K71" s="13" t="str">
        <f t="shared" si="2"/>
        <v>https://en.wikipedia.org/wiki/Camden,_New_Jersey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</row>
    <row r="72" spans="1:47" ht="16" customHeight="1" x14ac:dyDescent="0.2">
      <c r="A72" s="15" t="s">
        <v>130</v>
      </c>
      <c r="B72" s="15" t="s">
        <v>130</v>
      </c>
      <c r="C72" s="15" t="s">
        <v>301</v>
      </c>
      <c r="D72" s="15" t="s">
        <v>67</v>
      </c>
      <c r="E72" s="15" t="s">
        <v>62</v>
      </c>
      <c r="F72" s="15"/>
      <c r="G72" s="15" t="s">
        <v>302</v>
      </c>
      <c r="H72" s="16">
        <v>42919</v>
      </c>
      <c r="I72" s="15" t="s">
        <v>302</v>
      </c>
      <c r="J72" s="65" t="s">
        <v>303</v>
      </c>
      <c r="K72" s="13" t="str">
        <f t="shared" si="2"/>
        <v>https://en.wikipedia.org/wiki/Cape_May,_New_Jersey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</row>
    <row r="73" spans="1:47" ht="16" customHeight="1" x14ac:dyDescent="0.2">
      <c r="A73" s="13" t="s">
        <v>304</v>
      </c>
      <c r="B73" s="13" t="s">
        <v>130</v>
      </c>
      <c r="C73" s="13" t="s">
        <v>305</v>
      </c>
      <c r="D73" s="13" t="s">
        <v>80</v>
      </c>
      <c r="E73" s="13" t="s">
        <v>68</v>
      </c>
      <c r="F73" s="13"/>
      <c r="G73" s="13"/>
      <c r="H73" s="14"/>
      <c r="I73" s="13"/>
      <c r="J73" s="13"/>
      <c r="K73" s="13" t="str">
        <f t="shared" si="2"/>
        <v>https://en.wikipedia.org/wiki/Cape_May_Point,_New_Jersey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</row>
    <row r="74" spans="1:47" ht="16" customHeight="1" x14ac:dyDescent="0.2">
      <c r="A74" s="15" t="s">
        <v>306</v>
      </c>
      <c r="B74" s="15" t="s">
        <v>78</v>
      </c>
      <c r="C74" s="15" t="s">
        <v>307</v>
      </c>
      <c r="D74" s="15" t="s">
        <v>80</v>
      </c>
      <c r="E74" s="15" t="s">
        <v>72</v>
      </c>
      <c r="F74" s="15">
        <v>215</v>
      </c>
      <c r="G74" s="15" t="s">
        <v>308</v>
      </c>
      <c r="H74" s="67" t="s">
        <v>309</v>
      </c>
      <c r="I74" s="15" t="s">
        <v>308</v>
      </c>
      <c r="J74" s="15" t="s">
        <v>1870</v>
      </c>
      <c r="K74" s="13" t="str">
        <f t="shared" si="2"/>
        <v>https://en.wikipedia.org/wiki/Carlstadt,_New_Jersey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</row>
    <row r="75" spans="1:47" ht="16" customHeight="1" x14ac:dyDescent="0.2">
      <c r="A75" s="13" t="s">
        <v>310</v>
      </c>
      <c r="B75" s="13" t="s">
        <v>96</v>
      </c>
      <c r="C75" s="13" t="s">
        <v>311</v>
      </c>
      <c r="D75" s="13" t="s">
        <v>61</v>
      </c>
      <c r="E75" s="13" t="s">
        <v>72</v>
      </c>
      <c r="F75" s="13">
        <v>264</v>
      </c>
      <c r="G75" t="s">
        <v>312</v>
      </c>
      <c r="H75" s="14">
        <v>45703</v>
      </c>
      <c r="I75" s="13" t="s">
        <v>312</v>
      </c>
      <c r="J75" s="13" t="s">
        <v>1871</v>
      </c>
      <c r="K75" s="13" t="str">
        <f t="shared" si="2"/>
        <v>https://en.wikipedia.org/wiki/Carneys_Point_Township,_New_Jersey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</row>
    <row r="76" spans="1:47" ht="16" customHeight="1" x14ac:dyDescent="0.2">
      <c r="A76" s="15" t="s">
        <v>313</v>
      </c>
      <c r="B76" s="15" t="s">
        <v>314</v>
      </c>
      <c r="C76" s="15" t="s">
        <v>315</v>
      </c>
      <c r="D76" s="15" t="s">
        <v>80</v>
      </c>
      <c r="E76" s="15" t="s">
        <v>83</v>
      </c>
      <c r="F76" s="15">
        <v>93</v>
      </c>
      <c r="G76" s="15" t="s">
        <v>316</v>
      </c>
      <c r="H76" s="16">
        <v>45134</v>
      </c>
      <c r="I76" s="15"/>
      <c r="J76" s="15"/>
      <c r="K76" s="13" t="str">
        <f t="shared" si="2"/>
        <v>https://en.wikipedia.org/wiki/Carteret,_New_Jersey</v>
      </c>
      <c r="L76" s="15" t="s">
        <v>317</v>
      </c>
      <c r="M76" s="15" t="s">
        <v>318</v>
      </c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 t="s">
        <v>319</v>
      </c>
      <c r="AM76" s="15" t="s">
        <v>318</v>
      </c>
      <c r="AN76" s="15"/>
      <c r="AO76" s="15"/>
      <c r="AP76" s="15"/>
      <c r="AQ76" s="15"/>
      <c r="AR76" s="15"/>
      <c r="AS76" s="15"/>
      <c r="AT76" s="15"/>
      <c r="AU76" s="15"/>
    </row>
    <row r="77" spans="1:47" ht="16" customHeight="1" x14ac:dyDescent="0.2">
      <c r="A77" s="13" t="s">
        <v>320</v>
      </c>
      <c r="B77" s="13" t="s">
        <v>178</v>
      </c>
      <c r="C77" s="13" t="s">
        <v>321</v>
      </c>
      <c r="D77" s="13" t="s">
        <v>61</v>
      </c>
      <c r="E77" s="13" t="s">
        <v>72</v>
      </c>
      <c r="F77" s="13">
        <v>279</v>
      </c>
      <c r="G77" s="13" t="s">
        <v>322</v>
      </c>
      <c r="H77" s="14">
        <v>45928</v>
      </c>
      <c r="I77" s="13" t="s">
        <v>322</v>
      </c>
      <c r="J77" s="13" t="s">
        <v>1872</v>
      </c>
      <c r="K77" s="13" t="str">
        <f t="shared" si="2"/>
        <v>https://en.wikipedia.org/wiki/Cedar_Grove_Township,_New_Jersey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</row>
    <row r="78" spans="1:47" ht="16" customHeight="1" x14ac:dyDescent="0.2">
      <c r="A78" s="15" t="s">
        <v>323</v>
      </c>
      <c r="B78" s="15" t="s">
        <v>236</v>
      </c>
      <c r="C78" s="15" t="s">
        <v>324</v>
      </c>
      <c r="D78" s="15" t="s">
        <v>80</v>
      </c>
      <c r="E78" s="15" t="s">
        <v>68</v>
      </c>
      <c r="F78" s="15"/>
      <c r="G78" s="15"/>
      <c r="H78" s="16"/>
      <c r="I78" s="15"/>
      <c r="J78" s="15"/>
      <c r="K78" s="13" t="str">
        <f t="shared" si="2"/>
        <v>https://en.wikipedia.org/wiki/Chatham,_New_Jersey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</row>
    <row r="79" spans="1:47" ht="16" customHeight="1" x14ac:dyDescent="0.2">
      <c r="A79" s="13" t="s">
        <v>323</v>
      </c>
      <c r="B79" s="13" t="s">
        <v>236</v>
      </c>
      <c r="C79" s="13" t="s">
        <v>325</v>
      </c>
      <c r="D79" s="13" t="s">
        <v>61</v>
      </c>
      <c r="E79" s="13" t="s">
        <v>68</v>
      </c>
      <c r="F79" s="13"/>
      <c r="G79" s="13"/>
      <c r="H79" s="14"/>
      <c r="I79" s="13"/>
      <c r="J79" s="13"/>
      <c r="K79" s="13" t="str">
        <f t="shared" si="2"/>
        <v>https://en.wikipedia.org/wiki/Chatham_Township,_New_Jersey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</row>
    <row r="80" spans="1:47" ht="16" customHeight="1" x14ac:dyDescent="0.2">
      <c r="A80" s="15" t="s">
        <v>326</v>
      </c>
      <c r="B80" s="15" t="s">
        <v>123</v>
      </c>
      <c r="C80" s="15" t="s">
        <v>327</v>
      </c>
      <c r="D80" s="15" t="s">
        <v>61</v>
      </c>
      <c r="E80" s="15" t="s">
        <v>72</v>
      </c>
      <c r="F80" s="15">
        <v>281</v>
      </c>
      <c r="G80" s="15" t="s">
        <v>328</v>
      </c>
      <c r="H80" s="67" t="s">
        <v>329</v>
      </c>
      <c r="I80" s="15" t="s">
        <v>328</v>
      </c>
      <c r="J80" s="15" t="s">
        <v>1873</v>
      </c>
      <c r="K80" s="13" t="str">
        <f t="shared" si="2"/>
        <v>https://en.wikipedia.org/wiki/Cherry_Hill_Township,_New_Jersey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</row>
    <row r="81" spans="1:47" ht="16" customHeight="1" x14ac:dyDescent="0.2">
      <c r="A81" s="13" t="s">
        <v>330</v>
      </c>
      <c r="B81" s="13" t="s">
        <v>123</v>
      </c>
      <c r="C81" s="13" t="s">
        <v>331</v>
      </c>
      <c r="D81" s="13" t="s">
        <v>80</v>
      </c>
      <c r="E81" s="13" t="s">
        <v>68</v>
      </c>
      <c r="F81" s="13"/>
      <c r="G81" s="13"/>
      <c r="H81" s="14"/>
      <c r="I81" s="13"/>
      <c r="J81" s="13"/>
      <c r="K81" s="13" t="str">
        <f t="shared" si="2"/>
        <v>https://en.wikipedia.org/wiki/Chesilhurst,_New_Jersey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</row>
    <row r="82" spans="1:47" ht="16" customHeight="1" x14ac:dyDescent="0.2">
      <c r="A82" s="15" t="s">
        <v>332</v>
      </c>
      <c r="B82" s="15" t="s">
        <v>236</v>
      </c>
      <c r="C82" s="15" t="s">
        <v>333</v>
      </c>
      <c r="D82" s="15" t="s">
        <v>80</v>
      </c>
      <c r="E82" s="15" t="s">
        <v>68</v>
      </c>
      <c r="F82" s="15"/>
      <c r="G82" s="15"/>
      <c r="H82" s="16"/>
      <c r="I82" s="15"/>
      <c r="J82" s="15"/>
      <c r="K82" s="13" t="str">
        <f t="shared" si="2"/>
        <v>https://en.wikipedia.org/wiki/Chester,_New_Jersey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</row>
    <row r="83" spans="1:47" ht="16" customHeight="1" x14ac:dyDescent="0.2">
      <c r="A83" s="13" t="s">
        <v>332</v>
      </c>
      <c r="B83" s="13" t="s">
        <v>236</v>
      </c>
      <c r="C83" s="13" t="s">
        <v>334</v>
      </c>
      <c r="D83" s="13" t="s">
        <v>61</v>
      </c>
      <c r="E83" s="13" t="s">
        <v>68</v>
      </c>
      <c r="F83" s="13"/>
      <c r="G83" s="13"/>
      <c r="H83" s="14"/>
      <c r="I83" s="13"/>
      <c r="J83" s="13"/>
      <c r="K83" s="13" t="str">
        <f t="shared" si="2"/>
        <v>https://en.wikipedia.org/wiki/Chester_Township,_New_Jersey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</row>
    <row r="84" spans="1:47" ht="16" customHeight="1" x14ac:dyDescent="0.2">
      <c r="A84" s="15" t="s">
        <v>335</v>
      </c>
      <c r="B84" s="15" t="s">
        <v>150</v>
      </c>
      <c r="C84" s="15" t="s">
        <v>336</v>
      </c>
      <c r="D84" s="15" t="s">
        <v>61</v>
      </c>
      <c r="E84" s="15" t="s">
        <v>68</v>
      </c>
      <c r="F84" s="15"/>
      <c r="G84" s="15"/>
      <c r="H84" s="16"/>
      <c r="I84" s="15"/>
      <c r="J84" s="15"/>
      <c r="K84" s="13" t="str">
        <f t="shared" si="2"/>
        <v>https://en.wikipedia.org/wiki/Chesterfield_Township,_New_Jersey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</row>
    <row r="85" spans="1:47" ht="16" customHeight="1" x14ac:dyDescent="0.2">
      <c r="A85" s="13" t="s">
        <v>337</v>
      </c>
      <c r="B85" s="13" t="s">
        <v>150</v>
      </c>
      <c r="C85" s="13" t="s">
        <v>338</v>
      </c>
      <c r="D85" s="13" t="s">
        <v>61</v>
      </c>
      <c r="E85" s="13" t="s">
        <v>72</v>
      </c>
      <c r="F85" s="13">
        <v>265</v>
      </c>
      <c r="G85" t="s">
        <v>339</v>
      </c>
      <c r="H85" s="14">
        <v>45654</v>
      </c>
      <c r="I85" s="13" t="s">
        <v>339</v>
      </c>
      <c r="J85" s="13" t="s">
        <v>1874</v>
      </c>
      <c r="K85" s="13" t="str">
        <f t="shared" si="2"/>
        <v>https://en.wikipedia.org/wiki/Cinnaminson_Township,_New_Jersey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</row>
    <row r="86" spans="1:47" ht="16" customHeight="1" x14ac:dyDescent="0.2">
      <c r="A86" s="15" t="s">
        <v>340</v>
      </c>
      <c r="B86" s="15" t="s">
        <v>178</v>
      </c>
      <c r="C86" s="15" t="s">
        <v>341</v>
      </c>
      <c r="D86" s="15" t="s">
        <v>61</v>
      </c>
      <c r="E86" s="15" t="s">
        <v>68</v>
      </c>
      <c r="F86" s="15"/>
      <c r="G86" s="15"/>
      <c r="H86" s="16"/>
      <c r="I86" s="15"/>
      <c r="J86" s="15"/>
      <c r="K86" s="13" t="str">
        <f t="shared" si="2"/>
        <v>https://en.wikipedia.org/wiki/City_of_Orange_Township,_New_Jersey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</row>
    <row r="87" spans="1:47" ht="16" customHeight="1" x14ac:dyDescent="0.2">
      <c r="A87" s="13" t="s">
        <v>342</v>
      </c>
      <c r="B87" s="13" t="s">
        <v>197</v>
      </c>
      <c r="C87" s="13" t="s">
        <v>343</v>
      </c>
      <c r="D87" s="13" t="s">
        <v>61</v>
      </c>
      <c r="E87" s="13" t="s">
        <v>72</v>
      </c>
      <c r="F87" s="13">
        <v>252</v>
      </c>
      <c r="G87" s="13" t="s">
        <v>344</v>
      </c>
      <c r="H87" s="14">
        <v>45636</v>
      </c>
      <c r="I87" s="13"/>
      <c r="J87" s="13"/>
      <c r="K87" s="13" t="str">
        <f t="shared" si="2"/>
        <v>https://en.wikipedia.org/wiki/Clark_Township,_New_Jersey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</row>
    <row r="88" spans="1:47" ht="16" customHeight="1" x14ac:dyDescent="0.2">
      <c r="A88" s="15" t="s">
        <v>345</v>
      </c>
      <c r="B88" s="15" t="s">
        <v>346</v>
      </c>
      <c r="C88" s="15" t="s">
        <v>347</v>
      </c>
      <c r="D88" s="15" t="s">
        <v>80</v>
      </c>
      <c r="E88" s="15" t="s">
        <v>68</v>
      </c>
      <c r="F88" s="15"/>
      <c r="G88" s="15"/>
      <c r="H88" s="16"/>
      <c r="I88" s="15"/>
      <c r="J88" s="15"/>
      <c r="K88" s="13" t="str">
        <f t="shared" si="2"/>
        <v>https://en.wikipedia.org/wiki/Clayton,_New_Jersey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</row>
    <row r="89" spans="1:47" ht="16" customHeight="1" x14ac:dyDescent="0.2">
      <c r="A89" s="13" t="s">
        <v>348</v>
      </c>
      <c r="B89" s="13" t="s">
        <v>123</v>
      </c>
      <c r="C89" s="13" t="s">
        <v>349</v>
      </c>
      <c r="D89" s="13" t="s">
        <v>80</v>
      </c>
      <c r="E89" s="13" t="s">
        <v>68</v>
      </c>
      <c r="F89" s="13"/>
      <c r="G89" s="13"/>
      <c r="H89" s="14"/>
      <c r="I89" s="13"/>
      <c r="J89" s="13"/>
      <c r="K89" s="13" t="str">
        <f t="shared" si="2"/>
        <v>https://en.wikipedia.org/wiki/Clementon,_New_Jersey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</row>
    <row r="90" spans="1:47" ht="16" customHeight="1" x14ac:dyDescent="0.2">
      <c r="A90" s="15" t="s">
        <v>350</v>
      </c>
      <c r="B90" s="15" t="s">
        <v>78</v>
      </c>
      <c r="C90" s="15" t="s">
        <v>351</v>
      </c>
      <c r="D90" s="15" t="s">
        <v>80</v>
      </c>
      <c r="E90" s="15" t="s">
        <v>72</v>
      </c>
      <c r="F90" s="15">
        <v>163</v>
      </c>
      <c r="G90" s="15" t="s">
        <v>352</v>
      </c>
      <c r="H90" s="67" t="s">
        <v>353</v>
      </c>
      <c r="I90" s="15" t="s">
        <v>1875</v>
      </c>
      <c r="J90" s="15" t="s">
        <v>1876</v>
      </c>
      <c r="K90" s="13" t="str">
        <f t="shared" si="2"/>
        <v>https://en.wikipedia.org/wiki/Cliffside_Park,_New_Jersey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</row>
    <row r="91" spans="1:47" ht="16" customHeight="1" x14ac:dyDescent="0.2">
      <c r="A91" s="13" t="s">
        <v>354</v>
      </c>
      <c r="B91" s="13" t="s">
        <v>229</v>
      </c>
      <c r="C91" s="13" t="s">
        <v>355</v>
      </c>
      <c r="D91" s="13" t="s">
        <v>67</v>
      </c>
      <c r="E91" s="13" t="s">
        <v>62</v>
      </c>
      <c r="F91" s="13"/>
      <c r="G91" s="13" t="s">
        <v>356</v>
      </c>
      <c r="H91" s="14">
        <v>44767</v>
      </c>
      <c r="I91" s="13" t="s">
        <v>356</v>
      </c>
      <c r="J91" s="13" t="s">
        <v>1877</v>
      </c>
      <c r="K91" s="13" t="str">
        <f t="shared" si="2"/>
        <v>https://en.wikipedia.org/wiki/Clifton,_New_Jersey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</row>
    <row r="92" spans="1:47" ht="16" customHeight="1" x14ac:dyDescent="0.2">
      <c r="A92" s="15" t="s">
        <v>357</v>
      </c>
      <c r="B92" s="15" t="s">
        <v>70</v>
      </c>
      <c r="C92" s="15" t="s">
        <v>358</v>
      </c>
      <c r="D92" s="15" t="s">
        <v>189</v>
      </c>
      <c r="E92" s="15" t="s">
        <v>83</v>
      </c>
      <c r="F92" s="15">
        <v>122</v>
      </c>
      <c r="G92" s="15" t="s">
        <v>359</v>
      </c>
      <c r="H92" s="16">
        <v>45207</v>
      </c>
      <c r="I92" s="15" t="s">
        <v>1878</v>
      </c>
      <c r="J92" s="15" t="s">
        <v>1879</v>
      </c>
      <c r="K92" s="13" t="str">
        <f t="shared" si="2"/>
        <v>https://en.wikipedia.org/wiki/Clinton,_New_Jersey</v>
      </c>
      <c r="L92" s="15" t="s">
        <v>360</v>
      </c>
      <c r="M92" s="15" t="s">
        <v>361</v>
      </c>
      <c r="N92" s="15" t="s">
        <v>362</v>
      </c>
      <c r="O92" s="15" t="s">
        <v>363</v>
      </c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 t="s">
        <v>360</v>
      </c>
      <c r="AG92" s="15" t="s">
        <v>364</v>
      </c>
      <c r="AH92" s="15" t="s">
        <v>362</v>
      </c>
      <c r="AI92" s="15" t="s">
        <v>365</v>
      </c>
      <c r="AJ92" s="15"/>
      <c r="AK92" s="15"/>
      <c r="AL92" s="15" t="s">
        <v>366</v>
      </c>
      <c r="AM92" s="15" t="s">
        <v>361</v>
      </c>
      <c r="AN92" s="15"/>
      <c r="AO92" s="15"/>
      <c r="AP92" s="15" t="s">
        <v>367</v>
      </c>
      <c r="AQ92" s="15" t="s">
        <v>363</v>
      </c>
      <c r="AR92" s="15"/>
      <c r="AS92" s="15"/>
      <c r="AT92" s="15"/>
      <c r="AU92" s="15"/>
    </row>
    <row r="93" spans="1:47" ht="16" customHeight="1" x14ac:dyDescent="0.2">
      <c r="A93" s="13" t="s">
        <v>357</v>
      </c>
      <c r="B93" s="13" t="s">
        <v>70</v>
      </c>
      <c r="C93" s="13" t="s">
        <v>368</v>
      </c>
      <c r="D93" s="13" t="s">
        <v>61</v>
      </c>
      <c r="E93" s="13" t="s">
        <v>68</v>
      </c>
      <c r="F93" s="13"/>
      <c r="G93" s="13"/>
      <c r="H93" s="14"/>
      <c r="I93" s="13"/>
      <c r="J93" s="13"/>
      <c r="K93" s="13" t="str">
        <f t="shared" si="2"/>
        <v>https://en.wikipedia.org/wiki/Clinton_Township,_New_Jersey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</row>
    <row r="94" spans="1:47" ht="16" customHeight="1" x14ac:dyDescent="0.2">
      <c r="A94" s="15" t="s">
        <v>369</v>
      </c>
      <c r="B94" s="15" t="s">
        <v>78</v>
      </c>
      <c r="C94" s="15" t="s">
        <v>370</v>
      </c>
      <c r="D94" s="15" t="s">
        <v>80</v>
      </c>
      <c r="E94" s="15" t="s">
        <v>68</v>
      </c>
      <c r="F94" s="15"/>
      <c r="G94" s="15"/>
      <c r="H94" s="16"/>
      <c r="I94" s="15"/>
      <c r="J94" s="15"/>
      <c r="K94" s="13" t="str">
        <f t="shared" si="2"/>
        <v>https://en.wikipedia.org/wiki/Closter,_New_Jersey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</row>
    <row r="95" spans="1:47" ht="16" customHeight="1" x14ac:dyDescent="0.2">
      <c r="A95" s="13" t="s">
        <v>371</v>
      </c>
      <c r="B95" s="13" t="s">
        <v>123</v>
      </c>
      <c r="C95" s="13" t="s">
        <v>372</v>
      </c>
      <c r="D95" s="13" t="s">
        <v>80</v>
      </c>
      <c r="E95" s="13" t="s">
        <v>72</v>
      </c>
      <c r="F95" s="13">
        <v>255</v>
      </c>
      <c r="G95" s="13" t="s">
        <v>373</v>
      </c>
      <c r="H95" s="68" t="s">
        <v>374</v>
      </c>
      <c r="I95" s="13" t="s">
        <v>1880</v>
      </c>
      <c r="J95" s="13" t="s">
        <v>1881</v>
      </c>
      <c r="K95" s="13" t="str">
        <f t="shared" si="2"/>
        <v>https://en.wikipedia.org/wiki/Collingswood,_New_Jersey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</row>
    <row r="96" spans="1:47" ht="16" customHeight="1" x14ac:dyDescent="0.2">
      <c r="A96" s="15" t="s">
        <v>375</v>
      </c>
      <c r="B96" s="15" t="s">
        <v>59</v>
      </c>
      <c r="C96" s="15" t="s">
        <v>376</v>
      </c>
      <c r="D96" s="15" t="s">
        <v>61</v>
      </c>
      <c r="E96" s="15" t="s">
        <v>83</v>
      </c>
      <c r="F96" s="15">
        <v>90</v>
      </c>
      <c r="G96" s="15" t="s">
        <v>377</v>
      </c>
      <c r="H96" s="16">
        <v>45122</v>
      </c>
      <c r="I96" s="15" t="s">
        <v>377</v>
      </c>
      <c r="J96" s="15" t="s">
        <v>1882</v>
      </c>
      <c r="K96" s="13" t="str">
        <f t="shared" si="2"/>
        <v>https://en.wikipedia.org/wiki/Colts_Neck_Township,_New_Jersey</v>
      </c>
      <c r="L96" s="15" t="s">
        <v>378</v>
      </c>
      <c r="M96" s="15" t="s">
        <v>379</v>
      </c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 t="s">
        <v>380</v>
      </c>
      <c r="AM96" s="15" t="s">
        <v>381</v>
      </c>
      <c r="AN96" s="15"/>
      <c r="AO96" s="15"/>
      <c r="AP96" s="15"/>
      <c r="AQ96" s="15"/>
      <c r="AR96" s="15"/>
      <c r="AS96" s="15"/>
      <c r="AT96" s="15"/>
      <c r="AU96" s="15"/>
    </row>
    <row r="97" spans="1:47" ht="16" customHeight="1" x14ac:dyDescent="0.2">
      <c r="A97" s="13" t="s">
        <v>382</v>
      </c>
      <c r="B97" s="13" t="s">
        <v>263</v>
      </c>
      <c r="C97" s="13" t="s">
        <v>383</v>
      </c>
      <c r="D97" s="13" t="s">
        <v>61</v>
      </c>
      <c r="E97" s="13" t="s">
        <v>72</v>
      </c>
      <c r="F97" s="13">
        <v>171</v>
      </c>
      <c r="G97" t="s">
        <v>384</v>
      </c>
      <c r="H97" s="14">
        <v>45318</v>
      </c>
      <c r="I97" s="13"/>
      <c r="J97" s="13"/>
      <c r="K97" s="13" t="str">
        <f t="shared" si="2"/>
        <v>https://en.wikipedia.org/wiki/Commercial_Township,_New_Jersey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</row>
    <row r="98" spans="1:47" ht="16" customHeight="1" x14ac:dyDescent="0.2">
      <c r="A98" s="15" t="s">
        <v>385</v>
      </c>
      <c r="B98" s="15" t="s">
        <v>65</v>
      </c>
      <c r="C98" s="15" t="s">
        <v>386</v>
      </c>
      <c r="D98" s="15" t="s">
        <v>67</v>
      </c>
      <c r="E98" s="15" t="s">
        <v>68</v>
      </c>
      <c r="F98" s="15"/>
      <c r="G98" s="15"/>
      <c r="H98" s="16"/>
      <c r="I98" s="15"/>
      <c r="J98" s="15"/>
      <c r="K98" s="13" t="str">
        <f t="shared" si="2"/>
        <v>https://en.wikipedia.org/wiki/Corbin_City,_New_Jersey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</row>
    <row r="99" spans="1:47" ht="16" customHeight="1" x14ac:dyDescent="0.2">
      <c r="A99" s="13" t="s">
        <v>387</v>
      </c>
      <c r="B99" s="13" t="s">
        <v>314</v>
      </c>
      <c r="C99" s="13" t="s">
        <v>388</v>
      </c>
      <c r="D99" s="13" t="s">
        <v>61</v>
      </c>
      <c r="E99" s="13" t="s">
        <v>83</v>
      </c>
      <c r="F99" s="13">
        <v>102</v>
      </c>
      <c r="G99" s="13" t="s">
        <v>389</v>
      </c>
      <c r="H99" s="14">
        <v>45151</v>
      </c>
      <c r="I99" s="13" t="s">
        <v>389</v>
      </c>
      <c r="J99" s="13" t="s">
        <v>1883</v>
      </c>
      <c r="K99" s="13" t="str">
        <f t="shared" ref="K99:K130" si="3">IF(A99="","","https://en.wikipedia.org/wiki/"&amp;SUBSTITUTE(A99," ","_")&amp;IF(D99="township","_Township","")&amp;",_New_Jersey")</f>
        <v>https://en.wikipedia.org/wiki/Cranbury_Township,_New_Jersey</v>
      </c>
      <c r="L99" s="13" t="s">
        <v>390</v>
      </c>
      <c r="M99" s="13" t="s">
        <v>391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 t="s">
        <v>392</v>
      </c>
      <c r="AM99" s="13" t="s">
        <v>391</v>
      </c>
      <c r="AN99" s="13"/>
      <c r="AO99" s="13"/>
      <c r="AP99" s="13"/>
      <c r="AQ99" s="13"/>
      <c r="AR99" s="13"/>
      <c r="AS99" s="13"/>
      <c r="AT99" s="13"/>
      <c r="AU99" s="13"/>
    </row>
    <row r="100" spans="1:47" ht="16" customHeight="1" x14ac:dyDescent="0.2">
      <c r="A100" s="15" t="s">
        <v>393</v>
      </c>
      <c r="B100" s="15" t="s">
        <v>197</v>
      </c>
      <c r="C100" s="15" t="s">
        <v>394</v>
      </c>
      <c r="D100" s="15" t="s">
        <v>61</v>
      </c>
      <c r="E100" s="15" t="s">
        <v>62</v>
      </c>
      <c r="F100" s="15"/>
      <c r="G100" s="15" t="s">
        <v>395</v>
      </c>
      <c r="H100" s="16">
        <v>44205</v>
      </c>
      <c r="I100" s="15"/>
      <c r="J100" s="15"/>
      <c r="K100" s="13" t="str">
        <f t="shared" si="3"/>
        <v>https://en.wikipedia.org/wiki/Cranford_Township,_New_Jersey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</row>
    <row r="101" spans="1:47" ht="16" customHeight="1" x14ac:dyDescent="0.2">
      <c r="A101" s="13" t="s">
        <v>396</v>
      </c>
      <c r="B101" s="13" t="s">
        <v>78</v>
      </c>
      <c r="C101" s="13" t="s">
        <v>397</v>
      </c>
      <c r="D101" s="13" t="s">
        <v>80</v>
      </c>
      <c r="E101" s="13" t="s">
        <v>68</v>
      </c>
      <c r="F101" s="13"/>
      <c r="G101" s="13"/>
      <c r="H101" s="14"/>
      <c r="I101" s="13"/>
      <c r="J101" s="13"/>
      <c r="K101" s="13" t="str">
        <f t="shared" si="3"/>
        <v>https://en.wikipedia.org/wiki/Cresskill,_New_Jersey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</row>
    <row r="102" spans="1:47" ht="16" customHeight="1" x14ac:dyDescent="0.2">
      <c r="A102" s="15" t="s">
        <v>398</v>
      </c>
      <c r="B102" s="15" t="s">
        <v>59</v>
      </c>
      <c r="C102" s="15" t="s">
        <v>399</v>
      </c>
      <c r="D102" s="15" t="s">
        <v>80</v>
      </c>
      <c r="E102" s="15" t="s">
        <v>68</v>
      </c>
      <c r="F102" s="15"/>
      <c r="G102" s="15"/>
      <c r="H102" s="16"/>
      <c r="I102" s="15"/>
      <c r="J102" s="15"/>
      <c r="K102" s="13" t="str">
        <f t="shared" si="3"/>
        <v>https://en.wikipedia.org/wiki/Deal,_New_Jersey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</row>
    <row r="103" spans="1:47" ht="16" customHeight="1" x14ac:dyDescent="0.2">
      <c r="A103" s="13" t="s">
        <v>400</v>
      </c>
      <c r="B103" s="13" t="s">
        <v>263</v>
      </c>
      <c r="C103" s="13" t="s">
        <v>401</v>
      </c>
      <c r="D103" s="13" t="s">
        <v>61</v>
      </c>
      <c r="E103" s="13" t="s">
        <v>72</v>
      </c>
      <c r="F103" s="13">
        <v>205</v>
      </c>
      <c r="G103" t="s">
        <v>402</v>
      </c>
      <c r="H103" s="14">
        <v>45466</v>
      </c>
      <c r="I103" s="13" t="s">
        <v>402</v>
      </c>
      <c r="J103" s="13" t="s">
        <v>1889</v>
      </c>
      <c r="K103" s="13" t="str">
        <f t="shared" si="3"/>
        <v>https://en.wikipedia.org/wiki/Deerfield_Township,_New_Jersey</v>
      </c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</row>
    <row r="104" spans="1:47" ht="16" customHeight="1" x14ac:dyDescent="0.2">
      <c r="A104" s="15" t="s">
        <v>403</v>
      </c>
      <c r="B104" s="15" t="s">
        <v>150</v>
      </c>
      <c r="C104" s="15" t="s">
        <v>404</v>
      </c>
      <c r="D104" s="15" t="s">
        <v>61</v>
      </c>
      <c r="E104" s="15" t="s">
        <v>68</v>
      </c>
      <c r="F104" s="15"/>
      <c r="G104" s="15"/>
      <c r="H104" s="16"/>
      <c r="I104" s="15"/>
      <c r="J104" s="15"/>
      <c r="K104" s="13" t="str">
        <f t="shared" si="3"/>
        <v>https://en.wikipedia.org/wiki/Delanco_Township,_New_Jersey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</row>
    <row r="105" spans="1:47" ht="16" customHeight="1" x14ac:dyDescent="0.2">
      <c r="A105" s="13" t="s">
        <v>405</v>
      </c>
      <c r="B105" s="13" t="s">
        <v>70</v>
      </c>
      <c r="C105" s="13" t="s">
        <v>406</v>
      </c>
      <c r="D105" s="13" t="s">
        <v>61</v>
      </c>
      <c r="E105" s="13" t="s">
        <v>68</v>
      </c>
      <c r="F105" s="13"/>
      <c r="G105" s="13"/>
      <c r="H105" s="14"/>
      <c r="I105" s="13"/>
      <c r="J105" s="13"/>
      <c r="K105" s="13" t="str">
        <f t="shared" si="3"/>
        <v>https://en.wikipedia.org/wiki/Delaware_Township,_New_Jersey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</row>
    <row r="106" spans="1:47" ht="16" customHeight="1" x14ac:dyDescent="0.2">
      <c r="A106" s="15" t="s">
        <v>407</v>
      </c>
      <c r="B106" s="15" t="s">
        <v>150</v>
      </c>
      <c r="C106" s="15" t="s">
        <v>408</v>
      </c>
      <c r="D106" s="15" t="s">
        <v>61</v>
      </c>
      <c r="E106" s="15" t="s">
        <v>68</v>
      </c>
      <c r="F106" s="15"/>
      <c r="G106" s="15"/>
      <c r="H106" s="16"/>
      <c r="I106" s="15"/>
      <c r="J106" s="15"/>
      <c r="K106" s="13" t="str">
        <f t="shared" si="3"/>
        <v>https://en.wikipedia.org/wiki/Delran_Township,_New_Jersey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</row>
    <row r="107" spans="1:47" ht="16" customHeight="1" x14ac:dyDescent="0.2">
      <c r="A107" s="13" t="s">
        <v>409</v>
      </c>
      <c r="B107" s="13" t="s">
        <v>78</v>
      </c>
      <c r="C107" s="13" t="s">
        <v>410</v>
      </c>
      <c r="D107" s="13" t="s">
        <v>80</v>
      </c>
      <c r="E107" s="13" t="s">
        <v>68</v>
      </c>
      <c r="F107" s="13"/>
      <c r="G107" s="13"/>
      <c r="H107" s="14"/>
      <c r="I107" s="13"/>
      <c r="J107" s="13"/>
      <c r="K107" s="13" t="str">
        <f t="shared" si="3"/>
        <v>https://en.wikipedia.org/wiki/Demarest,_New_Jersey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</row>
    <row r="108" spans="1:47" ht="16" customHeight="1" x14ac:dyDescent="0.2">
      <c r="A108" s="15" t="s">
        <v>411</v>
      </c>
      <c r="B108" s="15" t="s">
        <v>130</v>
      </c>
      <c r="C108" s="15" t="s">
        <v>412</v>
      </c>
      <c r="D108" s="15" t="s">
        <v>61</v>
      </c>
      <c r="E108" s="15" t="s">
        <v>68</v>
      </c>
      <c r="F108" s="15"/>
      <c r="G108" s="15"/>
      <c r="H108" s="16"/>
      <c r="I108" s="15"/>
      <c r="J108" s="15"/>
      <c r="K108" s="13" t="str">
        <f t="shared" si="3"/>
        <v>https://en.wikipedia.org/wiki/Dennis_Township,_New_Jersey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</row>
    <row r="109" spans="1:47" ht="16" customHeight="1" x14ac:dyDescent="0.2">
      <c r="A109" s="13" t="s">
        <v>413</v>
      </c>
      <c r="B109" s="13" t="s">
        <v>236</v>
      </c>
      <c r="C109" s="13" t="s">
        <v>414</v>
      </c>
      <c r="D109" s="13" t="s">
        <v>61</v>
      </c>
      <c r="E109" s="13" t="s">
        <v>62</v>
      </c>
      <c r="F109" s="13"/>
      <c r="G109" s="13" t="s">
        <v>415</v>
      </c>
      <c r="H109" s="14">
        <v>42419</v>
      </c>
      <c r="I109" s="13" t="s">
        <v>415</v>
      </c>
      <c r="J109" s="13" t="s">
        <v>1901</v>
      </c>
      <c r="K109" s="13" t="str">
        <f t="shared" si="3"/>
        <v>https://en.wikipedia.org/wiki/Denville_Township,_New_Jersey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</row>
    <row r="110" spans="1:47" ht="16" customHeight="1" x14ac:dyDescent="0.2">
      <c r="A110" s="15" t="s">
        <v>416</v>
      </c>
      <c r="B110" s="15" t="s">
        <v>346</v>
      </c>
      <c r="C110" s="15" t="s">
        <v>417</v>
      </c>
      <c r="D110" s="15" t="s">
        <v>61</v>
      </c>
      <c r="E110" s="15" t="s">
        <v>72</v>
      </c>
      <c r="F110" s="15">
        <v>158</v>
      </c>
      <c r="G110" s="66" t="s">
        <v>418</v>
      </c>
      <c r="H110" s="16">
        <v>45283</v>
      </c>
      <c r="I110" s="15" t="s">
        <v>1890</v>
      </c>
      <c r="J110" s="15" t="s">
        <v>1891</v>
      </c>
      <c r="K110" s="13" t="str">
        <f t="shared" si="3"/>
        <v>https://en.wikipedia.org/wiki/Deptford_Township,_New_Jersey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</row>
    <row r="111" spans="1:47" ht="16" customHeight="1" x14ac:dyDescent="0.2">
      <c r="A111" s="13" t="s">
        <v>419</v>
      </c>
      <c r="B111" s="13" t="s">
        <v>236</v>
      </c>
      <c r="C111" s="13" t="s">
        <v>420</v>
      </c>
      <c r="D111" s="13" t="s">
        <v>189</v>
      </c>
      <c r="E111" s="13" t="s">
        <v>72</v>
      </c>
      <c r="F111" s="13">
        <v>276</v>
      </c>
      <c r="G111" s="13" t="s">
        <v>421</v>
      </c>
      <c r="H111" s="14">
        <v>45851</v>
      </c>
      <c r="I111" s="13" t="s">
        <v>421</v>
      </c>
      <c r="J111" s="13" t="s">
        <v>1892</v>
      </c>
      <c r="K111" s="13" t="str">
        <f t="shared" si="3"/>
        <v>https://en.wikipedia.org/wiki/Dover,_New_Jersey</v>
      </c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</row>
    <row r="112" spans="1:47" ht="16" customHeight="1" x14ac:dyDescent="0.2">
      <c r="A112" s="15" t="s">
        <v>422</v>
      </c>
      <c r="B112" s="15" t="s">
        <v>263</v>
      </c>
      <c r="C112" s="15" t="s">
        <v>423</v>
      </c>
      <c r="D112" s="15" t="s">
        <v>61</v>
      </c>
      <c r="E112" s="15" t="s">
        <v>72</v>
      </c>
      <c r="F112" s="15">
        <v>203</v>
      </c>
      <c r="G112" t="s">
        <v>424</v>
      </c>
      <c r="H112" s="16">
        <v>45465</v>
      </c>
      <c r="I112" s="15" t="s">
        <v>1893</v>
      </c>
      <c r="J112" s="15" t="s">
        <v>1894</v>
      </c>
      <c r="K112" s="13" t="str">
        <f t="shared" si="3"/>
        <v>https://en.wikipedia.org/wiki/Downe_Township,_New_Jersey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</row>
    <row r="113" spans="1:47" ht="16" customHeight="1" x14ac:dyDescent="0.2">
      <c r="A113" s="13" t="s">
        <v>425</v>
      </c>
      <c r="B113" s="13" t="s">
        <v>78</v>
      </c>
      <c r="C113" s="13" t="s">
        <v>426</v>
      </c>
      <c r="D113" s="13" t="s">
        <v>80</v>
      </c>
      <c r="E113" s="13" t="s">
        <v>68</v>
      </c>
      <c r="F113" s="13"/>
      <c r="G113" s="13"/>
      <c r="H113" s="14"/>
      <c r="I113" s="13"/>
      <c r="J113" s="13"/>
      <c r="K113" s="13" t="str">
        <f t="shared" si="3"/>
        <v>https://en.wikipedia.org/wiki/Dumont,_New_Jersey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</row>
    <row r="114" spans="1:47" ht="16" customHeight="1" x14ac:dyDescent="0.2">
      <c r="A114" s="15" t="s">
        <v>427</v>
      </c>
      <c r="B114" s="15" t="s">
        <v>314</v>
      </c>
      <c r="C114" s="15" t="s">
        <v>428</v>
      </c>
      <c r="D114" s="15" t="s">
        <v>80</v>
      </c>
      <c r="E114" s="15" t="s">
        <v>83</v>
      </c>
      <c r="F114" s="15">
        <v>118</v>
      </c>
      <c r="G114" s="15" t="s">
        <v>429</v>
      </c>
      <c r="H114" s="16">
        <v>45185</v>
      </c>
      <c r="I114" s="15" t="s">
        <v>1885</v>
      </c>
      <c r="J114" s="15" t="s">
        <v>1886</v>
      </c>
      <c r="K114" s="13" t="str">
        <f t="shared" si="3"/>
        <v>https://en.wikipedia.org/wiki/Dunellen,_New_Jersey</v>
      </c>
      <c r="L114" s="15" t="s">
        <v>430</v>
      </c>
      <c r="M114" s="15" t="s">
        <v>431</v>
      </c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 t="s">
        <v>432</v>
      </c>
      <c r="AM114" s="15" t="s">
        <v>431</v>
      </c>
      <c r="AN114" s="15"/>
      <c r="AO114" s="15"/>
      <c r="AP114" s="15"/>
      <c r="AQ114" s="15"/>
      <c r="AR114" s="15"/>
      <c r="AS114" s="15"/>
      <c r="AT114" s="15"/>
      <c r="AU114" s="15"/>
    </row>
    <row r="115" spans="1:47" ht="16" customHeight="1" x14ac:dyDescent="0.2">
      <c r="A115" s="13" t="s">
        <v>433</v>
      </c>
      <c r="B115" s="13" t="s">
        <v>139</v>
      </c>
      <c r="C115" s="13" t="s">
        <v>434</v>
      </c>
      <c r="D115" s="13" t="s">
        <v>61</v>
      </c>
      <c r="E115" s="13" t="s">
        <v>72</v>
      </c>
      <c r="F115" s="13">
        <v>164</v>
      </c>
      <c r="G115" t="s">
        <v>435</v>
      </c>
      <c r="H115" s="14">
        <v>45297</v>
      </c>
      <c r="I115" s="13" t="s">
        <v>435</v>
      </c>
      <c r="J115" s="13" t="s">
        <v>1887</v>
      </c>
      <c r="K115" s="13" t="str">
        <f t="shared" si="3"/>
        <v>https://en.wikipedia.org/wiki/Eagleswood_Township,_New_Jersey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</row>
    <row r="116" spans="1:47" ht="16" customHeight="1" x14ac:dyDescent="0.2">
      <c r="A116" s="15" t="s">
        <v>436</v>
      </c>
      <c r="B116" s="15" t="s">
        <v>70</v>
      </c>
      <c r="C116" s="15" t="s">
        <v>437</v>
      </c>
      <c r="D116" s="15" t="s">
        <v>61</v>
      </c>
      <c r="E116" s="15" t="s">
        <v>72</v>
      </c>
      <c r="F116" s="15">
        <v>153</v>
      </c>
      <c r="G116" s="15" t="s">
        <v>438</v>
      </c>
      <c r="H116" s="16">
        <v>45270</v>
      </c>
      <c r="I116" s="15" t="s">
        <v>438</v>
      </c>
      <c r="J116" s="15" t="s">
        <v>1888</v>
      </c>
      <c r="K116" s="13" t="str">
        <f t="shared" si="3"/>
        <v>https://en.wikipedia.org/wiki/East_Amwell_Township,_New_Jersey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</row>
    <row r="117" spans="1:47" ht="16" customHeight="1" x14ac:dyDescent="0.2">
      <c r="A117" s="13" t="s">
        <v>439</v>
      </c>
      <c r="B117" s="13" t="s">
        <v>314</v>
      </c>
      <c r="C117" s="13" t="s">
        <v>440</v>
      </c>
      <c r="D117" s="13" t="s">
        <v>61</v>
      </c>
      <c r="E117" s="13" t="s">
        <v>62</v>
      </c>
      <c r="F117" s="13"/>
      <c r="G117" s="13" t="s">
        <v>441</v>
      </c>
      <c r="H117" s="14">
        <v>44988</v>
      </c>
      <c r="I117" s="13" t="s">
        <v>441</v>
      </c>
      <c r="J117" s="13" t="s">
        <v>1900</v>
      </c>
      <c r="K117" s="13" t="str">
        <f t="shared" si="3"/>
        <v>https://en.wikipedia.org/wiki/East_Brunswick_Township,_New_Jersey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</row>
    <row r="118" spans="1:47" ht="16" customHeight="1" x14ac:dyDescent="0.2">
      <c r="A118" s="15" t="s">
        <v>442</v>
      </c>
      <c r="B118" s="15" t="s">
        <v>346</v>
      </c>
      <c r="C118" s="15" t="s">
        <v>443</v>
      </c>
      <c r="D118" s="15" t="s">
        <v>61</v>
      </c>
      <c r="E118" s="15" t="s">
        <v>68</v>
      </c>
      <c r="F118" s="15"/>
      <c r="G118" s="15"/>
      <c r="H118" s="16"/>
      <c r="I118" s="15"/>
      <c r="J118" s="15"/>
      <c r="K118" s="13" t="str">
        <f t="shared" si="3"/>
        <v>https://en.wikipedia.org/wiki/East_Greenwich_Township,_New_Jersey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</row>
    <row r="119" spans="1:47" ht="16" customHeight="1" x14ac:dyDescent="0.2">
      <c r="A119" s="13" t="s">
        <v>444</v>
      </c>
      <c r="B119" s="13" t="s">
        <v>236</v>
      </c>
      <c r="C119" s="13" t="s">
        <v>445</v>
      </c>
      <c r="D119" s="13" t="s">
        <v>61</v>
      </c>
      <c r="E119" s="13" t="s">
        <v>68</v>
      </c>
      <c r="F119" s="13"/>
      <c r="G119" s="13"/>
      <c r="H119" s="14"/>
      <c r="I119" s="13"/>
      <c r="J119" s="13"/>
      <c r="K119" s="13" t="str">
        <f t="shared" si="3"/>
        <v>https://en.wikipedia.org/wiki/East_Hanover_Township,_New_Jersey</v>
      </c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</row>
    <row r="120" spans="1:47" ht="16" customHeight="1" x14ac:dyDescent="0.2">
      <c r="A120" s="15" t="s">
        <v>446</v>
      </c>
      <c r="B120" s="15" t="s">
        <v>157</v>
      </c>
      <c r="C120" s="15" t="s">
        <v>447</v>
      </c>
      <c r="D120" s="15" t="s">
        <v>80</v>
      </c>
      <c r="E120" s="15" t="s">
        <v>83</v>
      </c>
      <c r="F120" s="15">
        <v>113</v>
      </c>
      <c r="G120" s="15" t="s">
        <v>448</v>
      </c>
      <c r="H120" s="16">
        <v>45176</v>
      </c>
      <c r="I120" s="15" t="s">
        <v>448</v>
      </c>
      <c r="J120" s="15" t="s">
        <v>1884</v>
      </c>
      <c r="K120" s="13" t="str">
        <f t="shared" si="3"/>
        <v>https://en.wikipedia.org/wiki/East_Newark,_New_Jersey</v>
      </c>
      <c r="L120" s="15" t="s">
        <v>449</v>
      </c>
      <c r="M120" s="15" t="s">
        <v>450</v>
      </c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 t="s">
        <v>451</v>
      </c>
      <c r="AM120" s="15" t="s">
        <v>450</v>
      </c>
      <c r="AN120" s="15"/>
      <c r="AO120" s="15"/>
      <c r="AP120" s="15"/>
      <c r="AQ120" s="15"/>
      <c r="AR120" s="15"/>
      <c r="AS120" s="15"/>
      <c r="AT120" s="15"/>
      <c r="AU120" s="15"/>
    </row>
    <row r="121" spans="1:47" ht="16" customHeight="1" x14ac:dyDescent="0.2">
      <c r="A121" s="13" t="s">
        <v>452</v>
      </c>
      <c r="B121" s="13" t="s">
        <v>178</v>
      </c>
      <c r="C121" s="13" t="s">
        <v>453</v>
      </c>
      <c r="D121" s="13" t="s">
        <v>67</v>
      </c>
      <c r="E121" s="13" t="s">
        <v>68</v>
      </c>
      <c r="F121" s="13"/>
      <c r="G121" s="13"/>
      <c r="H121" s="14"/>
      <c r="I121" s="13"/>
      <c r="J121" s="13"/>
      <c r="K121" s="13" t="str">
        <f t="shared" si="3"/>
        <v>https://en.wikipedia.org/wiki/East_Orange,_New_Jersey</v>
      </c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</row>
    <row r="122" spans="1:47" ht="16" customHeight="1" x14ac:dyDescent="0.2">
      <c r="A122" s="15" t="s">
        <v>454</v>
      </c>
      <c r="B122" s="15" t="s">
        <v>78</v>
      </c>
      <c r="C122" s="15" t="s">
        <v>455</v>
      </c>
      <c r="D122" s="15" t="s">
        <v>80</v>
      </c>
      <c r="E122" s="15" t="s">
        <v>83</v>
      </c>
      <c r="F122" s="15">
        <v>111</v>
      </c>
      <c r="G122" s="15" t="s">
        <v>456</v>
      </c>
      <c r="H122" s="67" t="s">
        <v>457</v>
      </c>
      <c r="I122" s="15"/>
      <c r="J122" s="15"/>
      <c r="K122" s="13" t="str">
        <f t="shared" si="3"/>
        <v>https://en.wikipedia.org/wiki/East_Rutherford,_New_Jersey</v>
      </c>
      <c r="L122" s="15" t="s">
        <v>458</v>
      </c>
      <c r="M122" s="15" t="s">
        <v>459</v>
      </c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 t="s">
        <v>460</v>
      </c>
      <c r="AM122" s="15" t="s">
        <v>459</v>
      </c>
      <c r="AN122" s="15"/>
      <c r="AO122" s="15"/>
      <c r="AP122" s="15"/>
      <c r="AQ122" s="15"/>
      <c r="AR122" s="15"/>
      <c r="AS122" s="15"/>
      <c r="AT122" s="15"/>
      <c r="AU122" s="15"/>
    </row>
    <row r="123" spans="1:47" ht="16" customHeight="1" x14ac:dyDescent="0.2">
      <c r="A123" s="13" t="s">
        <v>461</v>
      </c>
      <c r="B123" s="13" t="s">
        <v>462</v>
      </c>
      <c r="C123" s="13" t="s">
        <v>463</v>
      </c>
      <c r="D123" s="13" t="s">
        <v>61</v>
      </c>
      <c r="E123" s="13" t="s">
        <v>62</v>
      </c>
      <c r="F123" s="13"/>
      <c r="G123" s="13" t="s">
        <v>464</v>
      </c>
      <c r="H123" s="14">
        <v>43400</v>
      </c>
      <c r="I123" s="13"/>
      <c r="J123" s="13"/>
      <c r="K123" s="13" t="str">
        <f t="shared" si="3"/>
        <v>https://en.wikipedia.org/wiki/East_Windsor_Township,_New_Jersey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</row>
    <row r="124" spans="1:47" ht="16" customHeight="1" x14ac:dyDescent="0.2">
      <c r="A124" s="15" t="s">
        <v>465</v>
      </c>
      <c r="B124" s="15" t="s">
        <v>150</v>
      </c>
      <c r="C124" s="15" t="s">
        <v>466</v>
      </c>
      <c r="D124" s="15" t="s">
        <v>61</v>
      </c>
      <c r="E124" s="15" t="s">
        <v>68</v>
      </c>
      <c r="F124" s="15"/>
      <c r="G124" s="15"/>
      <c r="H124" s="16"/>
      <c r="I124" s="15"/>
      <c r="J124" s="15"/>
      <c r="K124" s="13" t="str">
        <f t="shared" si="3"/>
        <v>https://en.wikipedia.org/wiki/Eastampton_Township,_New_Jersey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</row>
    <row r="125" spans="1:47" ht="16" customHeight="1" x14ac:dyDescent="0.2">
      <c r="A125" s="13" t="s">
        <v>467</v>
      </c>
      <c r="B125" s="13" t="s">
        <v>59</v>
      </c>
      <c r="C125" s="13" t="s">
        <v>468</v>
      </c>
      <c r="D125" s="13" t="s">
        <v>80</v>
      </c>
      <c r="E125" s="13" t="s">
        <v>62</v>
      </c>
      <c r="F125" s="13"/>
      <c r="G125" s="13" t="s">
        <v>469</v>
      </c>
      <c r="H125" s="14">
        <v>43831</v>
      </c>
      <c r="I125" s="13"/>
      <c r="J125" s="13"/>
      <c r="K125" s="13" t="str">
        <f t="shared" si="3"/>
        <v>https://en.wikipedia.org/wiki/Eatontown,_New_Jersey</v>
      </c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</row>
    <row r="126" spans="1:47" ht="16" customHeight="1" x14ac:dyDescent="0.2">
      <c r="A126" s="15" t="s">
        <v>470</v>
      </c>
      <c r="B126" s="15" t="s">
        <v>78</v>
      </c>
      <c r="C126" s="15" t="s">
        <v>471</v>
      </c>
      <c r="D126" s="15" t="s">
        <v>80</v>
      </c>
      <c r="E126" s="15" t="s">
        <v>68</v>
      </c>
      <c r="F126" s="15"/>
      <c r="G126" s="15"/>
      <c r="H126" s="16"/>
      <c r="I126" s="15"/>
      <c r="J126" s="15"/>
      <c r="K126" s="13" t="str">
        <f t="shared" si="3"/>
        <v>https://en.wikipedia.org/wiki/Edgewater,_New_Jersey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</row>
    <row r="127" spans="1:47" ht="16" customHeight="1" x14ac:dyDescent="0.2">
      <c r="A127" s="13" t="s">
        <v>472</v>
      </c>
      <c r="B127" s="13" t="s">
        <v>150</v>
      </c>
      <c r="C127" s="13" t="s">
        <v>473</v>
      </c>
      <c r="D127" s="13" t="s">
        <v>61</v>
      </c>
      <c r="E127" s="13" t="s">
        <v>68</v>
      </c>
      <c r="F127" s="13"/>
      <c r="G127" s="13"/>
      <c r="H127" s="14"/>
      <c r="I127" s="13"/>
      <c r="J127" s="13"/>
      <c r="K127" s="13" t="str">
        <f t="shared" si="3"/>
        <v>https://en.wikipedia.org/wiki/Edgewater_Park_Township,_New_Jersey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</row>
    <row r="128" spans="1:47" ht="16" customHeight="1" x14ac:dyDescent="0.2">
      <c r="A128" s="15" t="s">
        <v>474</v>
      </c>
      <c r="B128" s="15" t="s">
        <v>314</v>
      </c>
      <c r="C128" s="15" t="s">
        <v>475</v>
      </c>
      <c r="D128" s="15" t="s">
        <v>61</v>
      </c>
      <c r="E128" s="15" t="s">
        <v>62</v>
      </c>
      <c r="F128" s="15"/>
      <c r="G128" s="15" t="s">
        <v>476</v>
      </c>
      <c r="H128" s="16">
        <v>43391</v>
      </c>
      <c r="I128" s="15" t="s">
        <v>476</v>
      </c>
      <c r="J128" s="15" t="s">
        <v>1902</v>
      </c>
      <c r="K128" s="13" t="str">
        <f t="shared" si="3"/>
        <v>https://en.wikipedia.org/wiki/Edison_Township,_New_Jersey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</row>
    <row r="129" spans="1:47" ht="16" customHeight="1" x14ac:dyDescent="0.2">
      <c r="A129" s="13" t="s">
        <v>477</v>
      </c>
      <c r="B129" s="13" t="s">
        <v>65</v>
      </c>
      <c r="C129" s="13" t="s">
        <v>478</v>
      </c>
      <c r="D129" s="13" t="s">
        <v>61</v>
      </c>
      <c r="E129" s="13" t="s">
        <v>72</v>
      </c>
      <c r="F129" s="15">
        <v>260</v>
      </c>
      <c r="G129" s="15" t="s">
        <v>479</v>
      </c>
      <c r="H129" s="16">
        <v>45660</v>
      </c>
      <c r="I129" s="13" t="s">
        <v>1898</v>
      </c>
      <c r="J129" s="13" t="s">
        <v>1899</v>
      </c>
      <c r="K129" s="13" t="str">
        <f t="shared" si="3"/>
        <v>https://en.wikipedia.org/wiki/Egg_Harbor_Township,_New_Jersey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</row>
    <row r="130" spans="1:47" ht="16" customHeight="1" x14ac:dyDescent="0.2">
      <c r="A130" s="15" t="s">
        <v>480</v>
      </c>
      <c r="B130" s="15" t="s">
        <v>65</v>
      </c>
      <c r="C130" s="15" t="s">
        <v>481</v>
      </c>
      <c r="D130" s="15" t="s">
        <v>67</v>
      </c>
      <c r="E130" s="15" t="s">
        <v>68</v>
      </c>
      <c r="I130" s="15"/>
      <c r="J130" s="15"/>
      <c r="K130" s="13" t="str">
        <f t="shared" si="3"/>
        <v>https://en.wikipedia.org/wiki/Egg_Harbor_City,_New_Jersey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</row>
    <row r="131" spans="1:47" ht="16" customHeight="1" x14ac:dyDescent="0.2">
      <c r="A131" s="13" t="s">
        <v>482</v>
      </c>
      <c r="B131" s="13" t="s">
        <v>197</v>
      </c>
      <c r="C131" s="13" t="s">
        <v>483</v>
      </c>
      <c r="D131" s="13" t="s">
        <v>67</v>
      </c>
      <c r="E131" s="13" t="s">
        <v>62</v>
      </c>
      <c r="F131" s="13"/>
      <c r="G131" s="13" t="s">
        <v>484</v>
      </c>
      <c r="H131" s="14">
        <v>42862</v>
      </c>
      <c r="I131" s="13" t="s">
        <v>1903</v>
      </c>
      <c r="J131" s="13" t="s">
        <v>1904</v>
      </c>
      <c r="K131" s="13" t="str">
        <f t="shared" ref="K131:K145" si="4">IF(A131="","","https://en.wikipedia.org/wiki/"&amp;SUBSTITUTE(A131," ","_")&amp;IF(D131="township","_Township","")&amp;",_New_Jersey")</f>
        <v>https://en.wikipedia.org/wiki/Elizabeth,_New_Jersey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</row>
    <row r="132" spans="1:47" ht="16" customHeight="1" x14ac:dyDescent="0.2">
      <c r="A132" s="15" t="s">
        <v>485</v>
      </c>
      <c r="B132" s="15" t="s">
        <v>346</v>
      </c>
      <c r="C132" s="15" t="s">
        <v>486</v>
      </c>
      <c r="D132" s="15" t="s">
        <v>61</v>
      </c>
      <c r="E132" s="15" t="s">
        <v>68</v>
      </c>
      <c r="F132" s="15"/>
      <c r="G132" s="15"/>
      <c r="H132" s="16"/>
      <c r="I132" s="15"/>
      <c r="J132" s="15"/>
      <c r="K132" s="13" t="str">
        <f t="shared" si="4"/>
        <v>https://en.wikipedia.org/wiki/Elk_Township,_New_Jersey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</row>
    <row r="133" spans="1:47" ht="16" customHeight="1" x14ac:dyDescent="0.2">
      <c r="A133" s="13" t="s">
        <v>487</v>
      </c>
      <c r="B133" s="13" t="s">
        <v>96</v>
      </c>
      <c r="C133" s="13" t="s">
        <v>488</v>
      </c>
      <c r="D133" s="13" t="s">
        <v>80</v>
      </c>
      <c r="E133" s="13" t="s">
        <v>68</v>
      </c>
      <c r="F133" s="13"/>
      <c r="G133" s="13"/>
      <c r="H133" s="14"/>
      <c r="I133" s="13"/>
      <c r="J133" s="13"/>
      <c r="K133" s="13" t="str">
        <f t="shared" si="4"/>
        <v>https://en.wikipedia.org/wiki/Elmer,_New_Jersey</v>
      </c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</row>
    <row r="134" spans="1:47" ht="16" customHeight="1" x14ac:dyDescent="0.2">
      <c r="A134" s="15" t="s">
        <v>489</v>
      </c>
      <c r="B134" s="15" t="s">
        <v>78</v>
      </c>
      <c r="C134" s="15" t="s">
        <v>490</v>
      </c>
      <c r="D134" s="15" t="s">
        <v>80</v>
      </c>
      <c r="E134" s="15" t="s">
        <v>68</v>
      </c>
      <c r="F134" s="15"/>
      <c r="G134" s="15"/>
      <c r="H134" s="16"/>
      <c r="I134" s="15"/>
      <c r="J134" s="15"/>
      <c r="K134" s="13" t="str">
        <f t="shared" si="4"/>
        <v>https://en.wikipedia.org/wiki/Elmwood_Park,_New_Jersey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</row>
    <row r="135" spans="1:47" ht="16" customHeight="1" x14ac:dyDescent="0.2">
      <c r="A135" s="13" t="s">
        <v>491</v>
      </c>
      <c r="B135" s="13" t="s">
        <v>96</v>
      </c>
      <c r="C135" s="13" t="s">
        <v>492</v>
      </c>
      <c r="D135" s="13" t="s">
        <v>61</v>
      </c>
      <c r="E135" s="13" t="s">
        <v>72</v>
      </c>
      <c r="F135" s="13">
        <v>184</v>
      </c>
      <c r="G135" t="s">
        <v>493</v>
      </c>
      <c r="H135" s="14">
        <v>45388</v>
      </c>
      <c r="I135" s="13"/>
      <c r="J135" s="13"/>
      <c r="K135" s="13" t="str">
        <f t="shared" si="4"/>
        <v>https://en.wikipedia.org/wiki/Elsinboro_Township,_New_Jersey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</row>
    <row r="136" spans="1:47" ht="16" customHeight="1" x14ac:dyDescent="0.2">
      <c r="A136" s="15" t="s">
        <v>494</v>
      </c>
      <c r="B136" s="15" t="s">
        <v>78</v>
      </c>
      <c r="C136" s="15" t="s">
        <v>495</v>
      </c>
      <c r="D136" s="15" t="s">
        <v>80</v>
      </c>
      <c r="E136" s="15" t="s">
        <v>68</v>
      </c>
      <c r="F136" s="15"/>
      <c r="G136" s="15"/>
      <c r="H136" s="16"/>
      <c r="I136" s="15"/>
      <c r="J136" s="15"/>
      <c r="K136" s="13" t="str">
        <f t="shared" si="4"/>
        <v>https://en.wikipedia.org/wiki/Emerson,_New_Jersey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</row>
    <row r="137" spans="1:47" ht="16" customHeight="1" x14ac:dyDescent="0.2">
      <c r="A137" s="13" t="s">
        <v>496</v>
      </c>
      <c r="B137" s="13" t="s">
        <v>78</v>
      </c>
      <c r="C137" s="13" t="s">
        <v>497</v>
      </c>
      <c r="D137" s="13" t="s">
        <v>67</v>
      </c>
      <c r="E137" s="13" t="s">
        <v>68</v>
      </c>
      <c r="F137" s="13"/>
      <c r="G137" s="13"/>
      <c r="H137" s="14"/>
      <c r="I137" s="13"/>
      <c r="J137" s="13"/>
      <c r="K137" s="13" t="str">
        <f t="shared" si="4"/>
        <v>https://en.wikipedia.org/wiki/Englewood,_New_Jersey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</row>
    <row r="138" spans="1:47" ht="16" customHeight="1" x14ac:dyDescent="0.2">
      <c r="A138" s="15" t="s">
        <v>498</v>
      </c>
      <c r="B138" s="15" t="s">
        <v>78</v>
      </c>
      <c r="C138" s="15" t="s">
        <v>499</v>
      </c>
      <c r="D138" s="15" t="s">
        <v>80</v>
      </c>
      <c r="E138" s="15" t="s">
        <v>72</v>
      </c>
      <c r="F138" s="15">
        <v>167</v>
      </c>
      <c r="G138" s="15" t="s">
        <v>500</v>
      </c>
      <c r="H138" s="67" t="s">
        <v>501</v>
      </c>
      <c r="I138" s="15" t="s">
        <v>500</v>
      </c>
      <c r="J138" s="15" t="s">
        <v>1897</v>
      </c>
      <c r="K138" s="13" t="str">
        <f t="shared" si="4"/>
        <v>https://en.wikipedia.org/wiki/Englewood_Cliffs,_New_Jersey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</row>
    <row r="139" spans="1:47" ht="16" customHeight="1" x14ac:dyDescent="0.2">
      <c r="A139" s="13" t="s">
        <v>502</v>
      </c>
      <c r="B139" s="13" t="s">
        <v>59</v>
      </c>
      <c r="C139" s="13" t="s">
        <v>503</v>
      </c>
      <c r="D139" s="13" t="s">
        <v>80</v>
      </c>
      <c r="E139" s="13" t="s">
        <v>83</v>
      </c>
      <c r="F139" s="13">
        <v>103</v>
      </c>
      <c r="G139" s="13" t="s">
        <v>504</v>
      </c>
      <c r="H139" s="14">
        <v>45154</v>
      </c>
      <c r="I139" s="13" t="s">
        <v>1939</v>
      </c>
      <c r="J139" s="13" t="s">
        <v>1940</v>
      </c>
      <c r="K139" s="13" t="str">
        <f t="shared" si="4"/>
        <v>https://en.wikipedia.org/wiki/Englishtown,_New_Jersey</v>
      </c>
      <c r="L139" s="13" t="s">
        <v>505</v>
      </c>
      <c r="M139" s="13" t="s">
        <v>506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 t="s">
        <v>507</v>
      </c>
      <c r="AM139" s="13" t="s">
        <v>506</v>
      </c>
      <c r="AN139" s="13"/>
      <c r="AO139" s="13"/>
      <c r="AP139" s="13"/>
      <c r="AQ139" s="13"/>
      <c r="AR139" s="13"/>
      <c r="AS139" s="13"/>
      <c r="AT139" s="13"/>
      <c r="AU139" s="13"/>
    </row>
    <row r="140" spans="1:47" ht="16" customHeight="1" x14ac:dyDescent="0.2">
      <c r="A140" s="15" t="s">
        <v>508</v>
      </c>
      <c r="B140" s="15" t="s">
        <v>178</v>
      </c>
      <c r="C140" s="15" t="s">
        <v>509</v>
      </c>
      <c r="D140" s="15" t="s">
        <v>80</v>
      </c>
      <c r="E140" s="15" t="s">
        <v>68</v>
      </c>
      <c r="F140" s="15"/>
      <c r="G140" s="15"/>
      <c r="H140" s="16"/>
      <c r="I140" s="15"/>
      <c r="J140" s="15"/>
      <c r="K140" s="13" t="str">
        <f t="shared" si="4"/>
        <v>https://en.wikipedia.org/wiki/Essex_Fells,_New_Jersey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</row>
    <row r="141" spans="1:47" ht="16" customHeight="1" x14ac:dyDescent="0.2">
      <c r="A141" s="13" t="s">
        <v>510</v>
      </c>
      <c r="B141" s="13" t="s">
        <v>65</v>
      </c>
      <c r="C141" s="13" t="s">
        <v>511</v>
      </c>
      <c r="D141" s="13" t="s">
        <v>67</v>
      </c>
      <c r="E141" s="13" t="s">
        <v>68</v>
      </c>
      <c r="F141" s="13"/>
      <c r="G141" s="13"/>
      <c r="H141" s="14"/>
      <c r="I141" s="13"/>
      <c r="J141" s="13"/>
      <c r="K141" s="13" t="str">
        <f t="shared" si="4"/>
        <v>https://en.wikipedia.org/wiki/Estell_Manor,_New_Jersey</v>
      </c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</row>
    <row r="142" spans="1:47" ht="16" customHeight="1" x14ac:dyDescent="0.2">
      <c r="A142" s="15" t="s">
        <v>512</v>
      </c>
      <c r="B142" s="15" t="s">
        <v>150</v>
      </c>
      <c r="C142" s="15" t="s">
        <v>513</v>
      </c>
      <c r="D142" s="15" t="s">
        <v>61</v>
      </c>
      <c r="E142" s="15" t="s">
        <v>68</v>
      </c>
      <c r="F142" s="15"/>
      <c r="G142" s="15"/>
      <c r="H142" s="16"/>
      <c r="I142" s="15"/>
      <c r="J142" s="15"/>
      <c r="K142" s="13" t="str">
        <f t="shared" si="4"/>
        <v>https://en.wikipedia.org/wiki/Evesham_Township,_New_Jersey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</row>
    <row r="143" spans="1:47" ht="16" customHeight="1" x14ac:dyDescent="0.2">
      <c r="A143" s="13" t="s">
        <v>514</v>
      </c>
      <c r="B143" s="13" t="s">
        <v>462</v>
      </c>
      <c r="C143" s="13" t="s">
        <v>515</v>
      </c>
      <c r="D143" s="13" t="s">
        <v>61</v>
      </c>
      <c r="E143" s="13" t="s">
        <v>68</v>
      </c>
      <c r="F143" s="13"/>
      <c r="G143" s="13"/>
      <c r="H143" s="14"/>
      <c r="I143" s="13"/>
      <c r="J143" s="13"/>
      <c r="K143" s="13" t="str">
        <f t="shared" si="4"/>
        <v>https://en.wikipedia.org/wiki/Ewing_Township,_New_Jersey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</row>
    <row r="144" spans="1:47" ht="16" customHeight="1" x14ac:dyDescent="0.2">
      <c r="A144" s="15" t="s">
        <v>516</v>
      </c>
      <c r="B144" s="15" t="s">
        <v>59</v>
      </c>
      <c r="C144" s="15" t="s">
        <v>517</v>
      </c>
      <c r="D144" s="15" t="s">
        <v>80</v>
      </c>
      <c r="E144" s="15" t="s">
        <v>72</v>
      </c>
      <c r="F144" s="15">
        <v>176</v>
      </c>
      <c r="G144" s="15" t="s">
        <v>518</v>
      </c>
      <c r="H144" s="16">
        <v>45333</v>
      </c>
      <c r="I144" s="15" t="s">
        <v>518</v>
      </c>
      <c r="J144" s="15" t="s">
        <v>1905</v>
      </c>
      <c r="K144" s="13" t="str">
        <f t="shared" si="4"/>
        <v>https://en.wikipedia.org/wiki/Fair_Haven,_New_Jersey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</row>
    <row r="145" spans="1:47" ht="16" customHeight="1" x14ac:dyDescent="0.2">
      <c r="A145" s="13" t="s">
        <v>519</v>
      </c>
      <c r="B145" s="13" t="s">
        <v>78</v>
      </c>
      <c r="C145" s="13" t="s">
        <v>520</v>
      </c>
      <c r="D145" s="13" t="s">
        <v>80</v>
      </c>
      <c r="E145" s="13" t="s">
        <v>68</v>
      </c>
      <c r="F145" s="13"/>
      <c r="G145" s="13"/>
      <c r="H145" s="14"/>
      <c r="I145" s="13"/>
      <c r="J145" s="13"/>
      <c r="K145" s="13" t="str">
        <f t="shared" si="4"/>
        <v>https://en.wikipedia.org/wiki/Fair_Lawn,_New_Jersey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</row>
    <row r="146" spans="1:47" ht="16" customHeight="1" x14ac:dyDescent="0.2">
      <c r="A146" s="15" t="s">
        <v>521</v>
      </c>
      <c r="B146" s="15" t="s">
        <v>263</v>
      </c>
      <c r="C146" s="15" t="s">
        <v>522</v>
      </c>
      <c r="D146" s="15" t="s">
        <v>61</v>
      </c>
      <c r="E146" s="15" t="s">
        <v>72</v>
      </c>
      <c r="F146" s="15">
        <v>202</v>
      </c>
      <c r="G146" t="s">
        <v>523</v>
      </c>
      <c r="H146" s="16">
        <v>111208</v>
      </c>
      <c r="I146" s="15" t="s">
        <v>523</v>
      </c>
      <c r="J146" s="15" t="s">
        <v>1906</v>
      </c>
      <c r="K146" s="13" t="s">
        <v>524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</row>
    <row r="147" spans="1:47" ht="16" customHeight="1" x14ac:dyDescent="0.2">
      <c r="A147" s="13" t="s">
        <v>521</v>
      </c>
      <c r="B147" s="13" t="s">
        <v>178</v>
      </c>
      <c r="C147" s="13" t="s">
        <v>525</v>
      </c>
      <c r="D147" s="13" t="s">
        <v>61</v>
      </c>
      <c r="E147" s="13" t="s">
        <v>68</v>
      </c>
      <c r="F147" s="13"/>
      <c r="G147" s="13"/>
      <c r="H147" s="14"/>
      <c r="I147" s="13"/>
      <c r="J147" s="13"/>
      <c r="K147" s="13" t="s">
        <v>526</v>
      </c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</row>
    <row r="148" spans="1:47" ht="16" customHeight="1" x14ac:dyDescent="0.2">
      <c r="A148" s="15" t="s">
        <v>527</v>
      </c>
      <c r="B148" s="15" t="s">
        <v>78</v>
      </c>
      <c r="C148" s="15" t="s">
        <v>528</v>
      </c>
      <c r="D148" s="15" t="s">
        <v>80</v>
      </c>
      <c r="E148" s="15" t="s">
        <v>72</v>
      </c>
      <c r="F148" s="15">
        <v>258</v>
      </c>
      <c r="G148" s="15" t="s">
        <v>529</v>
      </c>
      <c r="H148" s="67" t="s">
        <v>530</v>
      </c>
      <c r="I148" s="15" t="s">
        <v>1907</v>
      </c>
      <c r="J148" s="15" t="s">
        <v>1908</v>
      </c>
      <c r="K148" s="13" t="str">
        <f t="shared" ref="K148:K158" si="5">IF(A148="","","https://en.wikipedia.org/wiki/"&amp;SUBSTITUTE(A148," ","_")&amp;IF(D148="township","_Township","")&amp;",_New_Jersey")</f>
        <v>https://en.wikipedia.org/wiki/Fairview,_New_Jersey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</row>
    <row r="149" spans="1:47" ht="16" customHeight="1" x14ac:dyDescent="0.2">
      <c r="A149" s="13" t="s">
        <v>531</v>
      </c>
      <c r="B149" s="13" t="s">
        <v>197</v>
      </c>
      <c r="C149" s="13" t="s">
        <v>532</v>
      </c>
      <c r="D149" s="13" t="s">
        <v>80</v>
      </c>
      <c r="E149" s="13" t="s">
        <v>68</v>
      </c>
      <c r="F149" s="13"/>
      <c r="G149" s="13"/>
      <c r="H149" s="14"/>
      <c r="I149" s="13"/>
      <c r="J149" s="13"/>
      <c r="K149" s="13" t="str">
        <f t="shared" si="5"/>
        <v>https://en.wikipedia.org/wiki/Fanwood,_New_Jersey</v>
      </c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</row>
    <row r="150" spans="1:47" ht="16" customHeight="1" x14ac:dyDescent="0.2">
      <c r="A150" s="15" t="s">
        <v>533</v>
      </c>
      <c r="B150" s="15" t="s">
        <v>175</v>
      </c>
      <c r="C150" s="15" t="s">
        <v>534</v>
      </c>
      <c r="D150" s="15" t="s">
        <v>80</v>
      </c>
      <c r="E150" s="15" t="s">
        <v>68</v>
      </c>
      <c r="F150" s="15"/>
      <c r="G150" s="15"/>
      <c r="H150" s="16"/>
      <c r="I150" s="15"/>
      <c r="J150" s="15"/>
      <c r="K150" s="13" t="str">
        <f t="shared" si="5"/>
        <v>https://en.wikipedia.org/wiki/Far_Hills,_New_Jersey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</row>
    <row r="151" spans="1:47" ht="16" customHeight="1" x14ac:dyDescent="0.2">
      <c r="A151" s="13" t="s">
        <v>535</v>
      </c>
      <c r="B151" s="13" t="s">
        <v>59</v>
      </c>
      <c r="C151" s="13" t="s">
        <v>536</v>
      </c>
      <c r="D151" s="13" t="s">
        <v>80</v>
      </c>
      <c r="E151" s="13" t="s">
        <v>68</v>
      </c>
      <c r="F151" s="13"/>
      <c r="G151" s="13"/>
      <c r="H151" s="14"/>
      <c r="I151" s="13"/>
      <c r="J151" s="13"/>
      <c r="K151" s="13" t="str">
        <f t="shared" si="5"/>
        <v>https://en.wikipedia.org/wiki/Farmingdale,_New_Jersey</v>
      </c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</row>
    <row r="152" spans="1:47" ht="16" customHeight="1" x14ac:dyDescent="0.2">
      <c r="A152" s="15" t="s">
        <v>537</v>
      </c>
      <c r="B152" s="15" t="s">
        <v>150</v>
      </c>
      <c r="C152" s="15" t="s">
        <v>538</v>
      </c>
      <c r="D152" s="15" t="s">
        <v>80</v>
      </c>
      <c r="E152" s="15" t="s">
        <v>72</v>
      </c>
      <c r="F152" s="15">
        <v>263</v>
      </c>
      <c r="G152" t="s">
        <v>539</v>
      </c>
      <c r="H152" s="16">
        <v>45682</v>
      </c>
      <c r="I152" s="15" t="s">
        <v>539</v>
      </c>
      <c r="J152" s="15" t="s">
        <v>1909</v>
      </c>
      <c r="K152" s="13" t="str">
        <f t="shared" si="5"/>
        <v>https://en.wikipedia.org/wiki/Fieldsboro,_New_Jersey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</row>
    <row r="153" spans="1:47" ht="16" customHeight="1" x14ac:dyDescent="0.2">
      <c r="A153" s="13" t="s">
        <v>540</v>
      </c>
      <c r="B153" s="13" t="s">
        <v>70</v>
      </c>
      <c r="C153" s="13" t="s">
        <v>541</v>
      </c>
      <c r="D153" s="13" t="s">
        <v>80</v>
      </c>
      <c r="E153" s="13" t="s">
        <v>68</v>
      </c>
      <c r="F153" s="13"/>
      <c r="G153" s="13"/>
      <c r="H153" s="14"/>
      <c r="I153" s="13"/>
      <c r="J153" s="13"/>
      <c r="K153" s="13" t="str">
        <f t="shared" si="5"/>
        <v>https://en.wikipedia.org/wiki/Flemington,_New_Jersey</v>
      </c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</row>
    <row r="154" spans="1:47" ht="16" customHeight="1" x14ac:dyDescent="0.2">
      <c r="A154" s="15" t="s">
        <v>542</v>
      </c>
      <c r="B154" s="15" t="s">
        <v>150</v>
      </c>
      <c r="C154" s="15" t="s">
        <v>543</v>
      </c>
      <c r="D154" s="15" t="s">
        <v>61</v>
      </c>
      <c r="E154" s="15" t="s">
        <v>62</v>
      </c>
      <c r="F154" s="15"/>
      <c r="G154" t="s">
        <v>544</v>
      </c>
      <c r="H154" s="16">
        <v>45073</v>
      </c>
      <c r="I154" s="15"/>
      <c r="J154" s="15"/>
      <c r="K154" s="13" t="str">
        <f t="shared" si="5"/>
        <v>https://en.wikipedia.org/wiki/Florence_Township,_New_Jersey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</row>
    <row r="155" spans="1:47" ht="16" customHeight="1" x14ac:dyDescent="0.2">
      <c r="A155" s="13" t="s">
        <v>545</v>
      </c>
      <c r="B155" s="13" t="s">
        <v>236</v>
      </c>
      <c r="C155" s="13" t="s">
        <v>546</v>
      </c>
      <c r="D155" s="13" t="s">
        <v>80</v>
      </c>
      <c r="E155" s="13" t="s">
        <v>68</v>
      </c>
      <c r="F155" s="13"/>
      <c r="G155" s="13"/>
      <c r="H155" s="14"/>
      <c r="I155" s="13"/>
      <c r="J155" s="13"/>
      <c r="K155" s="13" t="str">
        <f t="shared" si="5"/>
        <v>https://en.wikipedia.org/wiki/Florham_Park,_New_Jersey</v>
      </c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</row>
    <row r="156" spans="1:47" ht="16" customHeight="1" x14ac:dyDescent="0.2">
      <c r="A156" s="15" t="s">
        <v>547</v>
      </c>
      <c r="B156" s="15" t="s">
        <v>65</v>
      </c>
      <c r="C156" s="15" t="s">
        <v>548</v>
      </c>
      <c r="D156" s="15" t="s">
        <v>80</v>
      </c>
      <c r="E156" s="15" t="s">
        <v>68</v>
      </c>
      <c r="F156" s="15"/>
      <c r="G156" s="15"/>
      <c r="H156" s="16"/>
      <c r="I156" s="15"/>
      <c r="J156" s="15"/>
      <c r="K156" s="13" t="str">
        <f t="shared" si="5"/>
        <v>https://en.wikipedia.org/wiki/Folsom,_New_Jersey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</row>
    <row r="157" spans="1:47" ht="16" customHeight="1" x14ac:dyDescent="0.2">
      <c r="A157" s="13" t="s">
        <v>549</v>
      </c>
      <c r="B157" s="13" t="s">
        <v>78</v>
      </c>
      <c r="C157" s="13" t="s">
        <v>550</v>
      </c>
      <c r="D157" s="13" t="s">
        <v>80</v>
      </c>
      <c r="E157" s="13" t="s">
        <v>72</v>
      </c>
      <c r="F157" s="13">
        <v>178</v>
      </c>
      <c r="G157" s="13" t="s">
        <v>551</v>
      </c>
      <c r="H157" s="68" t="s">
        <v>552</v>
      </c>
      <c r="I157" s="13" t="s">
        <v>2035</v>
      </c>
      <c r="J157" s="13" t="s">
        <v>2036</v>
      </c>
      <c r="K157" s="13" t="str">
        <f t="shared" si="5"/>
        <v>https://en.wikipedia.org/wiki/Fort_Lee,_New_Jersey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</row>
    <row r="158" spans="1:47" ht="16" customHeight="1" x14ac:dyDescent="0.2">
      <c r="A158" s="15" t="s">
        <v>553</v>
      </c>
      <c r="B158" s="15" t="s">
        <v>106</v>
      </c>
      <c r="C158" s="15" t="s">
        <v>554</v>
      </c>
      <c r="D158" s="15" t="s">
        <v>61</v>
      </c>
      <c r="E158" s="15" t="s">
        <v>72</v>
      </c>
      <c r="F158" s="15">
        <v>195</v>
      </c>
      <c r="G158" s="15" t="s">
        <v>555</v>
      </c>
      <c r="H158" s="16">
        <v>45439</v>
      </c>
      <c r="I158" s="15" t="s">
        <v>1989</v>
      </c>
      <c r="J158" s="15" t="s">
        <v>1990</v>
      </c>
      <c r="K158" s="13" t="str">
        <f t="shared" si="5"/>
        <v>https://en.wikipedia.org/wiki/Frankford_Township,_New_Jersey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</row>
    <row r="159" spans="1:47" ht="16" customHeight="1" x14ac:dyDescent="0.2">
      <c r="A159" s="13" t="s">
        <v>556</v>
      </c>
      <c r="B159" s="13" t="s">
        <v>346</v>
      </c>
      <c r="C159" s="13" t="s">
        <v>557</v>
      </c>
      <c r="D159" s="13" t="s">
        <v>61</v>
      </c>
      <c r="E159" s="13" t="s">
        <v>68</v>
      </c>
      <c r="F159" s="13"/>
      <c r="G159" s="13"/>
      <c r="H159" s="14"/>
      <c r="I159" s="13"/>
      <c r="J159" s="13"/>
      <c r="K159" s="13" t="s">
        <v>558</v>
      </c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</row>
    <row r="160" spans="1:47" ht="16" customHeight="1" x14ac:dyDescent="0.2">
      <c r="A160" s="15" t="s">
        <v>556</v>
      </c>
      <c r="B160" s="15" t="s">
        <v>70</v>
      </c>
      <c r="C160" s="15" t="s">
        <v>559</v>
      </c>
      <c r="D160" s="15" t="s">
        <v>61</v>
      </c>
      <c r="E160" s="15" t="s">
        <v>68</v>
      </c>
      <c r="F160" s="15"/>
      <c r="G160" s="15"/>
      <c r="H160" s="16"/>
      <c r="I160" s="15"/>
      <c r="J160" s="15"/>
      <c r="K160" s="13" t="s">
        <v>560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</row>
    <row r="161" spans="1:47" ht="16" customHeight="1" x14ac:dyDescent="0.2">
      <c r="A161" s="13" t="s">
        <v>556</v>
      </c>
      <c r="B161" s="13" t="s">
        <v>175</v>
      </c>
      <c r="C161" s="13" t="s">
        <v>561</v>
      </c>
      <c r="D161" s="13" t="s">
        <v>61</v>
      </c>
      <c r="E161" s="13" t="s">
        <v>62</v>
      </c>
      <c r="F161" s="13">
        <v>87</v>
      </c>
      <c r="G161" s="13" t="s">
        <v>562</v>
      </c>
      <c r="H161" s="14">
        <v>45109</v>
      </c>
      <c r="I161" s="13" t="s">
        <v>562</v>
      </c>
      <c r="J161" s="13" t="s">
        <v>1910</v>
      </c>
      <c r="K161" s="13" t="s">
        <v>563</v>
      </c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</row>
    <row r="162" spans="1:47" ht="16" customHeight="1" x14ac:dyDescent="0.2">
      <c r="A162" s="15" t="s">
        <v>556</v>
      </c>
      <c r="B162" s="15" t="s">
        <v>106</v>
      </c>
      <c r="C162" s="15" t="s">
        <v>564</v>
      </c>
      <c r="D162" s="15" t="s">
        <v>80</v>
      </c>
      <c r="E162" s="15" t="s">
        <v>68</v>
      </c>
      <c r="F162" s="15"/>
      <c r="G162" s="15"/>
      <c r="H162" s="16"/>
      <c r="I162" s="15"/>
      <c r="J162" s="15"/>
      <c r="K162" s="13" t="s">
        <v>565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</row>
    <row r="163" spans="1:47" ht="16" customHeight="1" x14ac:dyDescent="0.2">
      <c r="A163" s="13" t="s">
        <v>556</v>
      </c>
      <c r="B163" s="13" t="s">
        <v>75</v>
      </c>
      <c r="C163" s="13" t="s">
        <v>566</v>
      </c>
      <c r="D163" s="13" t="s">
        <v>61</v>
      </c>
      <c r="E163" s="13" t="s">
        <v>72</v>
      </c>
      <c r="F163" s="13">
        <v>145</v>
      </c>
      <c r="G163" s="13" t="s">
        <v>567</v>
      </c>
      <c r="H163" s="14">
        <v>45255</v>
      </c>
      <c r="I163" s="13" t="s">
        <v>567</v>
      </c>
      <c r="J163" s="13" t="s">
        <v>1911</v>
      </c>
      <c r="K163" s="13" t="s">
        <v>568</v>
      </c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</row>
    <row r="164" spans="1:47" ht="16" customHeight="1" x14ac:dyDescent="0.2">
      <c r="A164" s="15" t="s">
        <v>569</v>
      </c>
      <c r="B164" s="15" t="s">
        <v>78</v>
      </c>
      <c r="C164" s="15" t="s">
        <v>570</v>
      </c>
      <c r="D164" s="15" t="s">
        <v>80</v>
      </c>
      <c r="E164" s="15" t="s">
        <v>68</v>
      </c>
      <c r="F164" s="15"/>
      <c r="G164" s="15"/>
      <c r="H164" s="16"/>
      <c r="I164" s="15"/>
      <c r="J164" s="15"/>
      <c r="K164" s="13" t="str">
        <f t="shared" ref="K164:K181" si="6">IF(A164="","","https://en.wikipedia.org/wiki/"&amp;SUBSTITUTE(A164," ","_")&amp;IF(D164="township","_Township","")&amp;",_New_Jersey")</f>
        <v>https://en.wikipedia.org/wiki/Franklin_Lakes,_New_Jersey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</row>
    <row r="165" spans="1:47" ht="16" customHeight="1" x14ac:dyDescent="0.2">
      <c r="A165" s="13" t="s">
        <v>571</v>
      </c>
      <c r="B165" s="13" t="s">
        <v>106</v>
      </c>
      <c r="C165" s="13" t="s">
        <v>572</v>
      </c>
      <c r="D165" s="13" t="s">
        <v>61</v>
      </c>
      <c r="E165" s="13" t="s">
        <v>68</v>
      </c>
      <c r="F165" s="13"/>
      <c r="G165" s="13"/>
      <c r="H165" s="14"/>
      <c r="I165" s="13"/>
      <c r="J165" s="13"/>
      <c r="K165" s="13" t="str">
        <f t="shared" si="6"/>
        <v>https://en.wikipedia.org/wiki/Fredon_Township,_New_Jersey</v>
      </c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</row>
    <row r="166" spans="1:47" ht="16" customHeight="1" x14ac:dyDescent="0.2">
      <c r="A166" s="15" t="s">
        <v>573</v>
      </c>
      <c r="B166" s="15" t="s">
        <v>59</v>
      </c>
      <c r="C166" s="15" t="s">
        <v>574</v>
      </c>
      <c r="D166" s="15" t="s">
        <v>80</v>
      </c>
      <c r="E166" s="15" t="s">
        <v>62</v>
      </c>
      <c r="F166" s="15"/>
      <c r="G166" s="15" t="s">
        <v>575</v>
      </c>
      <c r="H166" s="16">
        <v>44807</v>
      </c>
      <c r="I166" s="15" t="s">
        <v>1912</v>
      </c>
      <c r="J166" s="15" t="s">
        <v>1913</v>
      </c>
      <c r="K166" s="13" t="str">
        <f t="shared" si="6"/>
        <v>https://en.wikipedia.org/wiki/Freehold,_New_Jersey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</row>
    <row r="167" spans="1:47" ht="16" customHeight="1" x14ac:dyDescent="0.2">
      <c r="A167" s="13" t="s">
        <v>573</v>
      </c>
      <c r="B167" s="13" t="s">
        <v>59</v>
      </c>
      <c r="C167" s="13" t="s">
        <v>576</v>
      </c>
      <c r="D167" s="13" t="s">
        <v>61</v>
      </c>
      <c r="E167" s="13" t="s">
        <v>62</v>
      </c>
      <c r="F167" s="13"/>
      <c r="G167" s="13" t="s">
        <v>469</v>
      </c>
      <c r="H167" s="14">
        <v>43731</v>
      </c>
      <c r="I167" s="13"/>
      <c r="J167" s="13"/>
      <c r="K167" s="13" t="str">
        <f t="shared" si="6"/>
        <v>https://en.wikipedia.org/wiki/Freehold_Township,_New_Jersey</v>
      </c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</row>
    <row r="168" spans="1:47" ht="16" customHeight="1" x14ac:dyDescent="0.2">
      <c r="A168" s="15" t="s">
        <v>577</v>
      </c>
      <c r="B168" s="15" t="s">
        <v>75</v>
      </c>
      <c r="C168" s="15" t="s">
        <v>578</v>
      </c>
      <c r="D168" s="15" t="s">
        <v>61</v>
      </c>
      <c r="E168" s="15" t="s">
        <v>72</v>
      </c>
      <c r="F168" s="15">
        <v>277</v>
      </c>
      <c r="G168" s="15" t="s">
        <v>579</v>
      </c>
      <c r="H168" s="16">
        <v>45851</v>
      </c>
      <c r="I168" s="15" t="s">
        <v>1914</v>
      </c>
      <c r="J168" s="15" t="s">
        <v>1915</v>
      </c>
      <c r="K168" s="13" t="str">
        <f t="shared" si="6"/>
        <v>https://en.wikipedia.org/wiki/Frelinghuysen_Township,_New_Jersey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</row>
    <row r="169" spans="1:47" ht="16" customHeight="1" x14ac:dyDescent="0.2">
      <c r="A169" s="13" t="s">
        <v>580</v>
      </c>
      <c r="B169" s="13" t="s">
        <v>70</v>
      </c>
      <c r="C169" s="13" t="s">
        <v>581</v>
      </c>
      <c r="D169" s="13" t="s">
        <v>80</v>
      </c>
      <c r="E169" s="13" t="s">
        <v>62</v>
      </c>
      <c r="F169" s="13"/>
      <c r="G169" s="69" t="s">
        <v>582</v>
      </c>
      <c r="H169" s="14">
        <v>42983</v>
      </c>
      <c r="I169" s="13" t="s">
        <v>1916</v>
      </c>
      <c r="J169" s="13" t="s">
        <v>1917</v>
      </c>
      <c r="K169" s="13" t="str">
        <f t="shared" si="6"/>
        <v>https://en.wikipedia.org/wiki/Frenchtown,_New_Jersey</v>
      </c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</row>
    <row r="170" spans="1:47" ht="16" customHeight="1" x14ac:dyDescent="0.2">
      <c r="A170" s="15" t="s">
        <v>583</v>
      </c>
      <c r="B170" s="15" t="s">
        <v>65</v>
      </c>
      <c r="C170" s="15" t="s">
        <v>584</v>
      </c>
      <c r="D170" s="15" t="s">
        <v>61</v>
      </c>
      <c r="E170" s="15" t="s">
        <v>62</v>
      </c>
      <c r="F170" s="15"/>
      <c r="G170" s="15" t="s">
        <v>585</v>
      </c>
      <c r="H170" s="16">
        <v>43639</v>
      </c>
      <c r="I170" s="15" t="s">
        <v>585</v>
      </c>
      <c r="J170" s="15" t="s">
        <v>586</v>
      </c>
      <c r="K170" s="13" t="str">
        <f t="shared" si="6"/>
        <v>https://en.wikipedia.org/wiki/Galloway_Township,_New_Jersey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</row>
    <row r="171" spans="1:47" ht="16" customHeight="1" x14ac:dyDescent="0.2">
      <c r="A171" s="13" t="s">
        <v>587</v>
      </c>
      <c r="B171" s="13" t="s">
        <v>78</v>
      </c>
      <c r="C171" s="13" t="s">
        <v>588</v>
      </c>
      <c r="D171" s="13" t="s">
        <v>67</v>
      </c>
      <c r="E171" s="13" t="s">
        <v>68</v>
      </c>
      <c r="F171" s="13"/>
      <c r="G171" s="13"/>
      <c r="H171" s="14"/>
      <c r="I171" s="13"/>
      <c r="J171" s="13"/>
      <c r="K171" s="13" t="str">
        <f t="shared" si="6"/>
        <v>https://en.wikipedia.org/wiki/Garfield,_New_Jersey</v>
      </c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</row>
    <row r="172" spans="1:47" ht="16" customHeight="1" x14ac:dyDescent="0.2">
      <c r="A172" s="15" t="s">
        <v>589</v>
      </c>
      <c r="B172" s="15" t="s">
        <v>197</v>
      </c>
      <c r="C172" s="15" t="s">
        <v>590</v>
      </c>
      <c r="D172" s="15" t="s">
        <v>80</v>
      </c>
      <c r="E172" s="15" t="s">
        <v>72</v>
      </c>
      <c r="F172" s="15">
        <v>180</v>
      </c>
      <c r="G172" s="15" t="s">
        <v>591</v>
      </c>
      <c r="H172" s="16">
        <v>45345</v>
      </c>
      <c r="I172" s="15"/>
      <c r="J172" s="71"/>
      <c r="K172" s="13" t="str">
        <f t="shared" si="6"/>
        <v>https://en.wikipedia.org/wiki/Garwood,_New_Jersey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</row>
    <row r="173" spans="1:47" ht="16" customHeight="1" x14ac:dyDescent="0.2">
      <c r="A173" s="13" t="s">
        <v>592</v>
      </c>
      <c r="B173" s="13" t="s">
        <v>123</v>
      </c>
      <c r="C173" s="13" t="s">
        <v>593</v>
      </c>
      <c r="D173" s="13" t="s">
        <v>80</v>
      </c>
      <c r="E173" s="13" t="s">
        <v>68</v>
      </c>
      <c r="F173" s="13"/>
      <c r="G173" s="13"/>
      <c r="H173" s="14"/>
      <c r="I173" s="13"/>
      <c r="J173" s="13"/>
      <c r="K173" s="13" t="str">
        <f t="shared" si="6"/>
        <v>https://en.wikipedia.org/wiki/Gibbsboro,_New_Jersey</v>
      </c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</row>
    <row r="174" spans="1:47" ht="16" customHeight="1" x14ac:dyDescent="0.2">
      <c r="A174" s="15" t="s">
        <v>594</v>
      </c>
      <c r="B174" s="15" t="s">
        <v>346</v>
      </c>
      <c r="C174" s="15" t="s">
        <v>595</v>
      </c>
      <c r="D174" s="15" t="s">
        <v>80</v>
      </c>
      <c r="E174" s="15" t="s">
        <v>68</v>
      </c>
      <c r="F174" s="15"/>
      <c r="G174" s="15"/>
      <c r="H174" s="16"/>
      <c r="I174" s="15"/>
      <c r="J174" s="15"/>
      <c r="K174" s="13" t="str">
        <f t="shared" si="6"/>
        <v>https://en.wikipedia.org/wiki/Glassboro,_New_Jersey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</row>
    <row r="175" spans="1:47" ht="16" customHeight="1" x14ac:dyDescent="0.2">
      <c r="A175" s="13" t="s">
        <v>596</v>
      </c>
      <c r="B175" s="13" t="s">
        <v>70</v>
      </c>
      <c r="C175" s="13" t="s">
        <v>597</v>
      </c>
      <c r="D175" s="13" t="s">
        <v>80</v>
      </c>
      <c r="E175" s="13" t="s">
        <v>68</v>
      </c>
      <c r="F175" s="13"/>
      <c r="G175" s="13"/>
      <c r="H175" s="14"/>
      <c r="I175" s="13"/>
      <c r="J175" s="13"/>
      <c r="K175" s="13" t="str">
        <f t="shared" si="6"/>
        <v>https://en.wikipedia.org/wiki/Glen_Gardner,_New_Jersey</v>
      </c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</row>
    <row r="176" spans="1:47" ht="16" customHeight="1" x14ac:dyDescent="0.2">
      <c r="A176" s="15" t="s">
        <v>598</v>
      </c>
      <c r="B176" s="15" t="s">
        <v>178</v>
      </c>
      <c r="C176" s="15" t="s">
        <v>599</v>
      </c>
      <c r="D176" s="15" t="s">
        <v>80</v>
      </c>
      <c r="E176" s="15" t="s">
        <v>68</v>
      </c>
      <c r="F176" s="15"/>
      <c r="G176" s="15"/>
      <c r="H176" s="16"/>
      <c r="I176" s="15"/>
      <c r="J176" s="15"/>
      <c r="K176" s="13" t="str">
        <f t="shared" si="6"/>
        <v>https://en.wikipedia.org/wiki/Glen_Ridge,_New_Jersey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</row>
    <row r="177" spans="1:47" ht="16" customHeight="1" x14ac:dyDescent="0.2">
      <c r="A177" s="13" t="s">
        <v>600</v>
      </c>
      <c r="B177" s="13" t="s">
        <v>78</v>
      </c>
      <c r="C177" s="13" t="s">
        <v>601</v>
      </c>
      <c r="D177" s="13" t="s">
        <v>80</v>
      </c>
      <c r="E177" s="13" t="s">
        <v>68</v>
      </c>
      <c r="F177" s="13"/>
      <c r="G177" s="13"/>
      <c r="H177" s="14"/>
      <c r="I177" s="13"/>
      <c r="J177" s="13"/>
      <c r="K177" s="13" t="str">
        <f t="shared" si="6"/>
        <v>https://en.wikipedia.org/wiki/Glen_Rock,_New_Jersey</v>
      </c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</row>
    <row r="178" spans="1:47" ht="16" customHeight="1" x14ac:dyDescent="0.2">
      <c r="A178" s="15" t="s">
        <v>346</v>
      </c>
      <c r="B178" s="15" t="s">
        <v>123</v>
      </c>
      <c r="C178" s="15" t="s">
        <v>602</v>
      </c>
      <c r="D178" s="15" t="s">
        <v>61</v>
      </c>
      <c r="E178" s="15" t="s">
        <v>68</v>
      </c>
      <c r="F178" s="15"/>
      <c r="G178" s="15"/>
      <c r="H178" s="16"/>
      <c r="I178" s="15"/>
      <c r="J178" s="15"/>
      <c r="K178" s="13" t="str">
        <f t="shared" si="6"/>
        <v>https://en.wikipedia.org/wiki/Gloucester_Township,_New_Jersey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</row>
    <row r="179" spans="1:47" ht="16" customHeight="1" x14ac:dyDescent="0.2">
      <c r="A179" s="13" t="s">
        <v>603</v>
      </c>
      <c r="B179" s="13" t="s">
        <v>123</v>
      </c>
      <c r="C179" s="13" t="s">
        <v>604</v>
      </c>
      <c r="D179" s="13" t="s">
        <v>67</v>
      </c>
      <c r="E179" s="13" t="s">
        <v>68</v>
      </c>
      <c r="F179" s="13"/>
      <c r="G179" s="13"/>
      <c r="H179" s="14"/>
      <c r="I179" s="13"/>
      <c r="J179" s="13"/>
      <c r="K179" s="13" t="str">
        <f t="shared" si="6"/>
        <v>https://en.wikipedia.org/wiki/Gloucester_City,_New_Jersey</v>
      </c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</row>
    <row r="180" spans="1:47" ht="16" customHeight="1" x14ac:dyDescent="0.2">
      <c r="A180" s="15" t="s">
        <v>605</v>
      </c>
      <c r="B180" s="15" t="s">
        <v>106</v>
      </c>
      <c r="C180" s="15" t="s">
        <v>606</v>
      </c>
      <c r="D180" s="15" t="s">
        <v>61</v>
      </c>
      <c r="E180" s="15" t="s">
        <v>68</v>
      </c>
      <c r="F180" s="15"/>
      <c r="G180" s="15"/>
      <c r="H180" s="16"/>
      <c r="I180" s="15"/>
      <c r="J180" s="15"/>
      <c r="K180" s="13" t="str">
        <f t="shared" si="6"/>
        <v>https://en.wikipedia.org/wiki/Green_Township,_New_Jersey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</row>
    <row r="181" spans="1:47" ht="16" customHeight="1" x14ac:dyDescent="0.2">
      <c r="A181" s="13" t="s">
        <v>607</v>
      </c>
      <c r="B181" s="13" t="s">
        <v>175</v>
      </c>
      <c r="C181" s="13" t="s">
        <v>608</v>
      </c>
      <c r="D181" s="13" t="s">
        <v>61</v>
      </c>
      <c r="E181" s="13" t="s">
        <v>72</v>
      </c>
      <c r="F181" s="13">
        <v>272</v>
      </c>
      <c r="G181" s="13" t="s">
        <v>609</v>
      </c>
      <c r="H181" s="14">
        <v>45808</v>
      </c>
      <c r="I181" s="13"/>
      <c r="J181" s="13"/>
      <c r="K181" s="13" t="str">
        <f t="shared" si="6"/>
        <v>https://en.wikipedia.org/wiki/Green_Brook_Township,_New_Jersey</v>
      </c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</row>
    <row r="182" spans="1:47" ht="16" customHeight="1" x14ac:dyDescent="0.2">
      <c r="A182" s="15" t="s">
        <v>610</v>
      </c>
      <c r="B182" s="15" t="s">
        <v>263</v>
      </c>
      <c r="C182" s="15" t="s">
        <v>611</v>
      </c>
      <c r="D182" s="15" t="s">
        <v>61</v>
      </c>
      <c r="E182" s="15" t="s">
        <v>72</v>
      </c>
      <c r="F182" s="15">
        <v>185</v>
      </c>
      <c r="G182" t="s">
        <v>612</v>
      </c>
      <c r="H182" s="16">
        <v>45388</v>
      </c>
      <c r="I182" s="15" t="s">
        <v>1918</v>
      </c>
      <c r="J182" s="15" t="s">
        <v>1919</v>
      </c>
      <c r="K182" s="13" t="s">
        <v>613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</row>
    <row r="183" spans="1:47" ht="16" customHeight="1" x14ac:dyDescent="0.2">
      <c r="A183" s="13" t="s">
        <v>610</v>
      </c>
      <c r="B183" s="13" t="s">
        <v>346</v>
      </c>
      <c r="C183" s="13" t="s">
        <v>614</v>
      </c>
      <c r="D183" s="13" t="s">
        <v>61</v>
      </c>
      <c r="E183" s="13" t="s">
        <v>68</v>
      </c>
      <c r="F183" s="13"/>
      <c r="G183" s="13"/>
      <c r="H183" s="14"/>
      <c r="I183" s="13"/>
      <c r="J183" s="13"/>
      <c r="K183" s="13" t="s">
        <v>615</v>
      </c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</row>
    <row r="184" spans="1:47" ht="16" customHeight="1" x14ac:dyDescent="0.2">
      <c r="A184" s="15" t="s">
        <v>610</v>
      </c>
      <c r="B184" s="15" t="s">
        <v>75</v>
      </c>
      <c r="C184" s="15" t="s">
        <v>616</v>
      </c>
      <c r="D184" s="15" t="s">
        <v>61</v>
      </c>
      <c r="E184" s="15" t="s">
        <v>68</v>
      </c>
      <c r="F184" s="15"/>
      <c r="G184" s="15"/>
      <c r="H184" s="16"/>
      <c r="I184" s="15"/>
      <c r="J184" s="15"/>
      <c r="K184" s="13" t="s">
        <v>617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</row>
    <row r="185" spans="1:47" ht="16" customHeight="1" x14ac:dyDescent="0.2">
      <c r="A185" s="13" t="s">
        <v>618</v>
      </c>
      <c r="B185" s="13" t="s">
        <v>157</v>
      </c>
      <c r="C185" s="13" t="s">
        <v>619</v>
      </c>
      <c r="D185" s="13" t="s">
        <v>189</v>
      </c>
      <c r="E185" s="13" t="s">
        <v>83</v>
      </c>
      <c r="F185" s="13">
        <v>99</v>
      </c>
      <c r="G185" s="13" t="s">
        <v>620</v>
      </c>
      <c r="H185" s="14">
        <v>45149</v>
      </c>
      <c r="I185" s="13" t="s">
        <v>620</v>
      </c>
      <c r="J185" s="13" t="s">
        <v>1920</v>
      </c>
      <c r="K185" s="13" t="str">
        <f t="shared" ref="K185:K193" si="7">IF(A185="","","https://en.wikipedia.org/wiki/"&amp;SUBSTITUTE(A185," ","_")&amp;IF(D185="township","_Township","")&amp;",_New_Jersey")</f>
        <v>https://en.wikipedia.org/wiki/Guttenberg,_New_Jersey</v>
      </c>
      <c r="L185" s="13" t="s">
        <v>621</v>
      </c>
      <c r="M185" s="13" t="s">
        <v>622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 t="s">
        <v>623</v>
      </c>
      <c r="AM185" s="13" t="s">
        <v>622</v>
      </c>
      <c r="AN185" s="13"/>
      <c r="AO185" s="13"/>
      <c r="AP185" s="13"/>
      <c r="AQ185" s="13"/>
      <c r="AR185" s="13"/>
      <c r="AS185" s="13"/>
      <c r="AT185" s="13"/>
      <c r="AU185" s="13"/>
    </row>
    <row r="186" spans="1:47" ht="16" customHeight="1" x14ac:dyDescent="0.2">
      <c r="A186" s="15" t="s">
        <v>624</v>
      </c>
      <c r="B186" s="15" t="s">
        <v>78</v>
      </c>
      <c r="C186" s="15" t="s">
        <v>625</v>
      </c>
      <c r="D186" s="15" t="s">
        <v>67</v>
      </c>
      <c r="E186" s="15" t="s">
        <v>72</v>
      </c>
      <c r="F186" s="15">
        <v>233</v>
      </c>
      <c r="G186" s="15" t="s">
        <v>626</v>
      </c>
      <c r="H186" s="67" t="s">
        <v>627</v>
      </c>
      <c r="I186" s="15" t="s">
        <v>1921</v>
      </c>
      <c r="J186" s="15" t="s">
        <v>1922</v>
      </c>
      <c r="K186" s="13" t="str">
        <f t="shared" si="7"/>
        <v>https://en.wikipedia.org/wiki/Hackensack,_New_Jersey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</row>
    <row r="187" spans="1:47" ht="16" customHeight="1" x14ac:dyDescent="0.2">
      <c r="A187" s="13" t="s">
        <v>628</v>
      </c>
      <c r="B187" s="13" t="s">
        <v>75</v>
      </c>
      <c r="C187" s="13" t="s">
        <v>629</v>
      </c>
      <c r="D187" s="13" t="s">
        <v>189</v>
      </c>
      <c r="E187" s="13" t="s">
        <v>68</v>
      </c>
      <c r="F187" s="13"/>
      <c r="G187" s="13"/>
      <c r="H187" s="14"/>
      <c r="I187" s="13"/>
      <c r="J187" s="13"/>
      <c r="K187" s="13" t="str">
        <f t="shared" si="7"/>
        <v>https://en.wikipedia.org/wiki/Hackettstown,_New_Jersey</v>
      </c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</row>
    <row r="188" spans="1:47" ht="16" customHeight="1" x14ac:dyDescent="0.2">
      <c r="A188" s="15" t="s">
        <v>630</v>
      </c>
      <c r="B188" s="15" t="s">
        <v>123</v>
      </c>
      <c r="C188" s="15" t="s">
        <v>631</v>
      </c>
      <c r="D188" s="15" t="s">
        <v>61</v>
      </c>
      <c r="E188" s="15" t="s">
        <v>68</v>
      </c>
      <c r="F188" s="15"/>
      <c r="G188" s="15"/>
      <c r="H188" s="16"/>
      <c r="I188" s="15"/>
      <c r="J188" s="15"/>
      <c r="K188" s="13" t="str">
        <f t="shared" si="7"/>
        <v>https://en.wikipedia.org/wiki/Haddon_Township,_New_Jersey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</row>
    <row r="189" spans="1:47" ht="16" customHeight="1" x14ac:dyDescent="0.2">
      <c r="A189" s="13" t="s">
        <v>632</v>
      </c>
      <c r="B189" s="13" t="s">
        <v>123</v>
      </c>
      <c r="C189" s="13" t="s">
        <v>633</v>
      </c>
      <c r="D189" s="13" t="s">
        <v>80</v>
      </c>
      <c r="E189" s="13" t="s">
        <v>68</v>
      </c>
      <c r="F189" s="13"/>
      <c r="G189" s="13"/>
      <c r="H189" s="14"/>
      <c r="I189" s="13"/>
      <c r="J189" s="13"/>
      <c r="K189" s="13" t="str">
        <f t="shared" si="7"/>
        <v>https://en.wikipedia.org/wiki/Haddon_Heights,_New_Jersey</v>
      </c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</row>
    <row r="190" spans="1:47" ht="16" customHeight="1" x14ac:dyDescent="0.2">
      <c r="A190" s="15" t="s">
        <v>634</v>
      </c>
      <c r="B190" s="15" t="s">
        <v>123</v>
      </c>
      <c r="C190" s="15" t="s">
        <v>635</v>
      </c>
      <c r="D190" s="15" t="s">
        <v>80</v>
      </c>
      <c r="E190" s="15" t="s">
        <v>68</v>
      </c>
      <c r="F190" s="15"/>
      <c r="G190" s="15"/>
      <c r="H190" s="16"/>
      <c r="I190" s="15"/>
      <c r="J190" s="15"/>
      <c r="K190" s="13" t="str">
        <f t="shared" si="7"/>
        <v>https://en.wikipedia.org/wiki/Haddonfield,_New_Jersey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</row>
    <row r="191" spans="1:47" ht="16" customHeight="1" x14ac:dyDescent="0.2">
      <c r="A191" s="13" t="s">
        <v>636</v>
      </c>
      <c r="B191" s="13" t="s">
        <v>150</v>
      </c>
      <c r="C191" s="13" t="s">
        <v>637</v>
      </c>
      <c r="D191" s="13" t="s">
        <v>61</v>
      </c>
      <c r="E191" s="13" t="s">
        <v>83</v>
      </c>
      <c r="F191" s="13">
        <v>115</v>
      </c>
      <c r="G191" t="s">
        <v>638</v>
      </c>
      <c r="H191" s="14">
        <v>45178</v>
      </c>
      <c r="I191" s="13" t="s">
        <v>638</v>
      </c>
      <c r="J191" s="13" t="s">
        <v>1991</v>
      </c>
      <c r="K191" s="13" t="str">
        <f t="shared" si="7"/>
        <v>https://en.wikipedia.org/wiki/Hainesport_Township,_New_Jersey</v>
      </c>
      <c r="L191" s="13" t="s">
        <v>639</v>
      </c>
      <c r="M191" s="13" t="s">
        <v>640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 t="s">
        <v>639</v>
      </c>
      <c r="AG191" s="13" t="s">
        <v>641</v>
      </c>
      <c r="AH191" s="13"/>
      <c r="AI191" s="13"/>
      <c r="AJ191" s="13"/>
      <c r="AK191" s="13"/>
      <c r="AL191" s="13" t="s">
        <v>642</v>
      </c>
      <c r="AM191" s="13" t="s">
        <v>640</v>
      </c>
      <c r="AN191" s="13"/>
      <c r="AO191" s="13"/>
      <c r="AP191" s="13"/>
      <c r="AQ191" s="13"/>
      <c r="AR191" s="13"/>
      <c r="AS191" s="13"/>
      <c r="AT191" s="13"/>
      <c r="AU191" s="13"/>
    </row>
    <row r="192" spans="1:47" ht="16" customHeight="1" x14ac:dyDescent="0.2">
      <c r="A192" s="15" t="s">
        <v>643</v>
      </c>
      <c r="B192" s="15" t="s">
        <v>229</v>
      </c>
      <c r="C192" s="15" t="s">
        <v>644</v>
      </c>
      <c r="D192" s="15" t="s">
        <v>80</v>
      </c>
      <c r="E192" s="15" t="s">
        <v>68</v>
      </c>
      <c r="F192" s="15"/>
      <c r="G192" s="15"/>
      <c r="H192" s="16"/>
      <c r="I192" s="15"/>
      <c r="J192" s="15"/>
      <c r="K192" s="13" t="str">
        <f t="shared" si="7"/>
        <v>https://en.wikipedia.org/wiki/Haledon,_New_Jersey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</row>
    <row r="193" spans="1:47" ht="16" customHeight="1" x14ac:dyDescent="0.2">
      <c r="A193" s="13" t="s">
        <v>645</v>
      </c>
      <c r="B193" s="13" t="s">
        <v>106</v>
      </c>
      <c r="C193" s="13" t="s">
        <v>646</v>
      </c>
      <c r="D193" s="13" t="s">
        <v>80</v>
      </c>
      <c r="E193" s="13" t="s">
        <v>68</v>
      </c>
      <c r="F193" s="13"/>
      <c r="G193" s="13"/>
      <c r="H193" s="14"/>
      <c r="I193" s="13"/>
      <c r="J193" s="13"/>
      <c r="K193" s="13" t="str">
        <f t="shared" si="7"/>
        <v>https://en.wikipedia.org/wiki/Hamburg,_New_Jersey</v>
      </c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</row>
    <row r="194" spans="1:47" ht="16" customHeight="1" x14ac:dyDescent="0.2">
      <c r="A194" s="15" t="s">
        <v>647</v>
      </c>
      <c r="B194" s="15" t="s">
        <v>65</v>
      </c>
      <c r="C194" s="15" t="s">
        <v>648</v>
      </c>
      <c r="D194" s="15" t="s">
        <v>61</v>
      </c>
      <c r="E194" s="15" t="s">
        <v>68</v>
      </c>
      <c r="F194" s="15"/>
      <c r="G194" s="15"/>
      <c r="H194" s="16"/>
      <c r="I194" s="15"/>
      <c r="J194" s="15"/>
      <c r="K194" s="13" t="s">
        <v>649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</row>
    <row r="195" spans="1:47" ht="16" customHeight="1" x14ac:dyDescent="0.2">
      <c r="A195" s="13" t="s">
        <v>647</v>
      </c>
      <c r="B195" s="13" t="s">
        <v>462</v>
      </c>
      <c r="C195" s="13" t="s">
        <v>650</v>
      </c>
      <c r="D195" s="13" t="s">
        <v>61</v>
      </c>
      <c r="E195" s="13" t="s">
        <v>62</v>
      </c>
      <c r="F195" s="13"/>
      <c r="G195" s="13" t="s">
        <v>651</v>
      </c>
      <c r="H195" s="14">
        <v>42547</v>
      </c>
      <c r="I195" s="13" t="s">
        <v>1923</v>
      </c>
      <c r="J195" s="13" t="s">
        <v>1924</v>
      </c>
      <c r="K195" s="13" t="s">
        <v>652</v>
      </c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</row>
    <row r="196" spans="1:47" ht="16" customHeight="1" x14ac:dyDescent="0.2">
      <c r="A196" s="15" t="s">
        <v>653</v>
      </c>
      <c r="B196" s="15" t="s">
        <v>65</v>
      </c>
      <c r="C196" s="15" t="s">
        <v>654</v>
      </c>
      <c r="D196" s="15" t="s">
        <v>189</v>
      </c>
      <c r="E196" s="15" t="s">
        <v>68</v>
      </c>
      <c r="F196" s="15"/>
      <c r="G196" s="15"/>
      <c r="H196" s="16"/>
      <c r="I196" s="15"/>
      <c r="J196" s="15"/>
      <c r="K196" s="13" t="str">
        <f>IF(A196="","","https://en.wikipedia.org/wiki/"&amp;SUBSTITUTE(A196," ","_")&amp;IF(D196="township","_Township","")&amp;",_New_Jersey")</f>
        <v>https://en.wikipedia.org/wiki/Hammonton,_New_Jersey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</row>
    <row r="197" spans="1:47" ht="16" customHeight="1" x14ac:dyDescent="0.2">
      <c r="A197" s="13" t="s">
        <v>655</v>
      </c>
      <c r="B197" s="13" t="s">
        <v>70</v>
      </c>
      <c r="C197" s="13" t="s">
        <v>656</v>
      </c>
      <c r="D197" s="13" t="s">
        <v>80</v>
      </c>
      <c r="E197" s="13" t="s">
        <v>68</v>
      </c>
      <c r="F197" s="13"/>
      <c r="G197" s="13"/>
      <c r="H197" s="14"/>
      <c r="I197" s="13"/>
      <c r="J197" s="13"/>
      <c r="K197" s="13" t="s">
        <v>657</v>
      </c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</row>
    <row r="198" spans="1:47" ht="16" customHeight="1" x14ac:dyDescent="0.2">
      <c r="A198" s="15" t="s">
        <v>655</v>
      </c>
      <c r="B198" s="15" t="s">
        <v>106</v>
      </c>
      <c r="C198" s="15" t="s">
        <v>658</v>
      </c>
      <c r="D198" s="15" t="s">
        <v>61</v>
      </c>
      <c r="E198" s="15" t="s">
        <v>68</v>
      </c>
      <c r="F198" s="15"/>
      <c r="G198" s="15"/>
      <c r="H198" s="16"/>
      <c r="I198" s="15"/>
      <c r="J198" s="15"/>
      <c r="K198" s="13" t="s">
        <v>659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</row>
    <row r="199" spans="1:47" ht="16" customHeight="1" x14ac:dyDescent="0.2">
      <c r="A199" s="13" t="s">
        <v>660</v>
      </c>
      <c r="B199" s="13" t="s">
        <v>236</v>
      </c>
      <c r="C199" s="13" t="s">
        <v>661</v>
      </c>
      <c r="D199" s="13" t="s">
        <v>61</v>
      </c>
      <c r="E199" s="13" t="s">
        <v>62</v>
      </c>
      <c r="F199" s="13"/>
      <c r="G199" s="13" t="s">
        <v>662</v>
      </c>
      <c r="H199" s="14">
        <v>42861</v>
      </c>
      <c r="I199" s="13" t="s">
        <v>1925</v>
      </c>
      <c r="J199" s="13" t="s">
        <v>1926</v>
      </c>
      <c r="K199" s="13" t="str">
        <f t="shared" ref="K199:K204" si="8">IF(A199="","","https://en.wikipedia.org/wiki/"&amp;SUBSTITUTE(A199," ","_")&amp;IF(D199="township","_Township","")&amp;",_New_Jersey")</f>
        <v>https://en.wikipedia.org/wiki/Hanover_Township,_New_Jersey</v>
      </c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</row>
    <row r="200" spans="1:47" ht="16" customHeight="1" x14ac:dyDescent="0.2">
      <c r="A200" s="15" t="s">
        <v>663</v>
      </c>
      <c r="B200" s="15" t="s">
        <v>236</v>
      </c>
      <c r="C200" s="15" t="s">
        <v>664</v>
      </c>
      <c r="D200" s="15" t="s">
        <v>61</v>
      </c>
      <c r="E200" s="15" t="s">
        <v>68</v>
      </c>
      <c r="F200" s="15"/>
      <c r="G200" s="15"/>
      <c r="H200" s="16"/>
      <c r="I200" s="15"/>
      <c r="J200" s="15"/>
      <c r="K200" s="13" t="str">
        <f t="shared" si="8"/>
        <v>https://en.wikipedia.org/wiki/Harding_Township,_New_Jersey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</row>
    <row r="201" spans="1:47" ht="16" customHeight="1" x14ac:dyDescent="0.2">
      <c r="A201" s="13" t="s">
        <v>665</v>
      </c>
      <c r="B201" s="13" t="s">
        <v>75</v>
      </c>
      <c r="C201" s="13" t="s">
        <v>666</v>
      </c>
      <c r="D201" s="13" t="s">
        <v>61</v>
      </c>
      <c r="E201" s="13" t="s">
        <v>68</v>
      </c>
      <c r="F201" s="13"/>
      <c r="G201" s="13"/>
      <c r="H201" s="14"/>
      <c r="I201" s="13"/>
      <c r="J201" s="13"/>
      <c r="K201" s="13" t="str">
        <f t="shared" si="8"/>
        <v>https://en.wikipedia.org/wiki/Hardwick_Township,_New_Jersey</v>
      </c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</row>
    <row r="202" spans="1:47" ht="16" customHeight="1" x14ac:dyDescent="0.2">
      <c r="A202" s="15" t="s">
        <v>667</v>
      </c>
      <c r="B202" s="15" t="s">
        <v>106</v>
      </c>
      <c r="C202" s="15" t="s">
        <v>668</v>
      </c>
      <c r="D202" s="15" t="s">
        <v>61</v>
      </c>
      <c r="E202" s="15" t="s">
        <v>68</v>
      </c>
      <c r="F202" s="15"/>
      <c r="G202" s="15"/>
      <c r="H202" s="16"/>
      <c r="I202" s="15"/>
      <c r="J202" s="15"/>
      <c r="K202" s="13" t="str">
        <f t="shared" si="8"/>
        <v>https://en.wikipedia.org/wiki/Hardyston_Township,_New_Jersey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</row>
    <row r="203" spans="1:47" ht="16" customHeight="1" x14ac:dyDescent="0.2">
      <c r="A203" s="13" t="s">
        <v>669</v>
      </c>
      <c r="B203" s="13" t="s">
        <v>75</v>
      </c>
      <c r="C203" s="13" t="s">
        <v>670</v>
      </c>
      <c r="D203" s="13" t="s">
        <v>61</v>
      </c>
      <c r="E203" s="13" t="s">
        <v>72</v>
      </c>
      <c r="F203" s="13">
        <v>238</v>
      </c>
      <c r="G203" s="13" t="s">
        <v>671</v>
      </c>
      <c r="H203" s="14">
        <v>45571</v>
      </c>
      <c r="I203" s="13" t="s">
        <v>671</v>
      </c>
      <c r="J203" s="13" t="s">
        <v>1927</v>
      </c>
      <c r="K203" s="13" t="str">
        <f t="shared" si="8"/>
        <v>https://en.wikipedia.org/wiki/Harmony_Township,_New_Jersey</v>
      </c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</row>
    <row r="204" spans="1:47" ht="16" customHeight="1" x14ac:dyDescent="0.2">
      <c r="A204" s="15" t="s">
        <v>672</v>
      </c>
      <c r="B204" s="15" t="s">
        <v>78</v>
      </c>
      <c r="C204" s="15" t="s">
        <v>673</v>
      </c>
      <c r="D204" s="15" t="s">
        <v>80</v>
      </c>
      <c r="E204" s="15" t="s">
        <v>68</v>
      </c>
      <c r="F204" s="15"/>
      <c r="G204" s="15"/>
      <c r="H204" s="16"/>
      <c r="I204" s="15"/>
      <c r="J204" s="15"/>
      <c r="K204" s="13" t="str">
        <f t="shared" si="8"/>
        <v>https://en.wikipedia.org/wiki/Harrington_Park,_New_Jersey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</row>
    <row r="205" spans="1:47" ht="16" customHeight="1" x14ac:dyDescent="0.2">
      <c r="A205" s="13" t="s">
        <v>674</v>
      </c>
      <c r="B205" s="13" t="s">
        <v>346</v>
      </c>
      <c r="C205" s="13" t="s">
        <v>675</v>
      </c>
      <c r="D205" s="13" t="s">
        <v>61</v>
      </c>
      <c r="E205" s="13" t="s">
        <v>72</v>
      </c>
      <c r="F205" s="13">
        <v>156</v>
      </c>
      <c r="G205" t="s">
        <v>676</v>
      </c>
      <c r="H205" s="14">
        <v>45283</v>
      </c>
      <c r="I205" s="13" t="s">
        <v>676</v>
      </c>
      <c r="J205" s="13" t="s">
        <v>1928</v>
      </c>
      <c r="K205" s="13" t="s">
        <v>677</v>
      </c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</row>
    <row r="206" spans="1:47" ht="16" customHeight="1" x14ac:dyDescent="0.2">
      <c r="A206" s="15" t="s">
        <v>674</v>
      </c>
      <c r="B206" s="15" t="s">
        <v>157</v>
      </c>
      <c r="C206" s="15" t="s">
        <v>678</v>
      </c>
      <c r="D206" s="15" t="s">
        <v>189</v>
      </c>
      <c r="E206" s="15" t="s">
        <v>72</v>
      </c>
      <c r="F206" s="15">
        <v>134</v>
      </c>
      <c r="G206" s="15" t="s">
        <v>679</v>
      </c>
      <c r="H206" s="16">
        <v>45232</v>
      </c>
      <c r="I206" s="15"/>
      <c r="J206" s="15"/>
      <c r="K206" s="13" t="s">
        <v>680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</row>
    <row r="207" spans="1:47" ht="16" customHeight="1" x14ac:dyDescent="0.2">
      <c r="A207" s="13" t="s">
        <v>681</v>
      </c>
      <c r="B207" s="13" t="s">
        <v>139</v>
      </c>
      <c r="C207" s="13" t="s">
        <v>682</v>
      </c>
      <c r="D207" s="13" t="s">
        <v>80</v>
      </c>
      <c r="E207" s="13" t="s">
        <v>72</v>
      </c>
      <c r="F207" s="13">
        <v>235</v>
      </c>
      <c r="G207" t="s">
        <v>683</v>
      </c>
      <c r="H207" s="14">
        <v>45564</v>
      </c>
      <c r="I207" s="13" t="s">
        <v>1929</v>
      </c>
      <c r="J207" s="13" t="s">
        <v>1930</v>
      </c>
      <c r="K207" s="13" t="str">
        <f t="shared" ref="K207:K226" si="9">IF(A207="","","https://en.wikipedia.org/wiki/"&amp;SUBSTITUTE(A207," ","_")&amp;IF(D207="township","_Township","")&amp;",_New_Jersey")</f>
        <v>https://en.wikipedia.org/wiki/Harvey_Cedars,_New_Jersey</v>
      </c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</row>
    <row r="208" spans="1:47" ht="16" customHeight="1" x14ac:dyDescent="0.2">
      <c r="A208" s="15" t="s">
        <v>684</v>
      </c>
      <c r="B208" s="15" t="s">
        <v>78</v>
      </c>
      <c r="C208" s="15" t="s">
        <v>685</v>
      </c>
      <c r="D208" s="15" t="s">
        <v>80</v>
      </c>
      <c r="E208" s="15" t="s">
        <v>68</v>
      </c>
      <c r="F208" s="15"/>
      <c r="G208" s="15"/>
      <c r="H208" s="16"/>
      <c r="I208" s="15"/>
      <c r="J208" s="15"/>
      <c r="K208" s="13" t="str">
        <f t="shared" si="9"/>
        <v>https://en.wikipedia.org/wiki/Hasbrouck_Heights,_New_Jersey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</row>
    <row r="209" spans="1:47" ht="16" customHeight="1" x14ac:dyDescent="0.2">
      <c r="A209" s="13" t="s">
        <v>686</v>
      </c>
      <c r="B209" s="13" t="s">
        <v>78</v>
      </c>
      <c r="C209" s="13" t="s">
        <v>687</v>
      </c>
      <c r="D209" s="13" t="s">
        <v>80</v>
      </c>
      <c r="E209" s="13" t="s">
        <v>68</v>
      </c>
      <c r="F209" s="13"/>
      <c r="G209" s="13"/>
      <c r="H209" s="14"/>
      <c r="I209" s="13"/>
      <c r="J209" s="13"/>
      <c r="K209" s="13" t="str">
        <f t="shared" si="9"/>
        <v>https://en.wikipedia.org/wiki/Haworth,_New_Jersey</v>
      </c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</row>
    <row r="210" spans="1:47" ht="16" customHeight="1" x14ac:dyDescent="0.2">
      <c r="A210" s="15" t="s">
        <v>688</v>
      </c>
      <c r="B210" s="15" t="s">
        <v>229</v>
      </c>
      <c r="C210" s="15" t="s">
        <v>689</v>
      </c>
      <c r="D210" s="15" t="s">
        <v>80</v>
      </c>
      <c r="E210" s="15" t="s">
        <v>68</v>
      </c>
      <c r="F210" s="15"/>
      <c r="G210" s="15"/>
      <c r="H210" s="16"/>
      <c r="I210" s="15"/>
      <c r="J210" s="15"/>
      <c r="K210" s="13" t="str">
        <f t="shared" si="9"/>
        <v>https://en.wikipedia.org/wiki/Hawthorne,_New_Jersey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</row>
    <row r="211" spans="1:47" ht="16" customHeight="1" x14ac:dyDescent="0.2">
      <c r="A211" s="13" t="s">
        <v>690</v>
      </c>
      <c r="B211" s="13" t="s">
        <v>59</v>
      </c>
      <c r="C211" s="13" t="s">
        <v>691</v>
      </c>
      <c r="D211" s="13" t="s">
        <v>61</v>
      </c>
      <c r="E211" s="13" t="s">
        <v>62</v>
      </c>
      <c r="F211" s="13"/>
      <c r="G211" s="13" t="s">
        <v>692</v>
      </c>
      <c r="H211" s="14">
        <v>45017</v>
      </c>
      <c r="I211" s="13" t="s">
        <v>692</v>
      </c>
      <c r="J211" s="13" t="s">
        <v>1931</v>
      </c>
      <c r="K211" s="13" t="str">
        <f t="shared" si="9"/>
        <v>https://en.wikipedia.org/wiki/Hazlet_Township,_New_Jersey</v>
      </c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</row>
    <row r="212" spans="1:47" ht="16" customHeight="1" x14ac:dyDescent="0.2">
      <c r="A212" s="15" t="s">
        <v>693</v>
      </c>
      <c r="B212" s="15" t="s">
        <v>314</v>
      </c>
      <c r="C212" s="15" t="s">
        <v>694</v>
      </c>
      <c r="D212" s="15" t="s">
        <v>80</v>
      </c>
      <c r="E212" s="15" t="s">
        <v>83</v>
      </c>
      <c r="F212" s="15">
        <v>95</v>
      </c>
      <c r="G212" s="15" t="s">
        <v>695</v>
      </c>
      <c r="H212" s="16">
        <v>45137</v>
      </c>
      <c r="I212" s="15" t="s">
        <v>695</v>
      </c>
      <c r="J212" s="15" t="s">
        <v>1932</v>
      </c>
      <c r="K212" s="13" t="str">
        <f t="shared" si="9"/>
        <v>https://en.wikipedia.org/wiki/Helmetta,_New_Jersey</v>
      </c>
      <c r="L212" s="15" t="s">
        <v>696</v>
      </c>
      <c r="M212" s="15" t="s">
        <v>697</v>
      </c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 t="s">
        <v>698</v>
      </c>
      <c r="AM212" s="15" t="s">
        <v>697</v>
      </c>
      <c r="AN212" s="15"/>
      <c r="AO212" s="15"/>
      <c r="AP212" s="15"/>
      <c r="AQ212" s="15"/>
      <c r="AR212" s="15"/>
      <c r="AS212" s="15"/>
      <c r="AT212" s="15"/>
      <c r="AU212" s="15"/>
    </row>
    <row r="213" spans="1:47" ht="16" customHeight="1" x14ac:dyDescent="0.2">
      <c r="A213" s="13" t="s">
        <v>699</v>
      </c>
      <c r="B213" s="13" t="s">
        <v>123</v>
      </c>
      <c r="C213" s="13" t="s">
        <v>700</v>
      </c>
      <c r="D213" s="13" t="s">
        <v>80</v>
      </c>
      <c r="E213" s="13" t="s">
        <v>68</v>
      </c>
      <c r="F213" s="13"/>
      <c r="G213" s="13"/>
      <c r="H213" s="14"/>
      <c r="I213" s="13"/>
      <c r="J213" s="13"/>
      <c r="K213" s="13" t="str">
        <f t="shared" si="9"/>
        <v>https://en.wikipedia.org/wiki/Hi-Nella,_New_Jersey</v>
      </c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</row>
    <row r="214" spans="1:47" ht="16" customHeight="1" x14ac:dyDescent="0.2">
      <c r="A214" s="15" t="s">
        <v>701</v>
      </c>
      <c r="B214" s="15" t="s">
        <v>70</v>
      </c>
      <c r="C214" s="15" t="s">
        <v>702</v>
      </c>
      <c r="D214" s="15" t="s">
        <v>80</v>
      </c>
      <c r="E214" s="15" t="s">
        <v>72</v>
      </c>
      <c r="F214" s="15">
        <v>200</v>
      </c>
      <c r="G214" s="15" t="s">
        <v>703</v>
      </c>
      <c r="H214" s="16">
        <v>45452</v>
      </c>
      <c r="I214" s="15" t="s">
        <v>703</v>
      </c>
      <c r="J214" s="15" t="s">
        <v>1933</v>
      </c>
      <c r="K214" s="13" t="str">
        <f t="shared" si="9"/>
        <v>https://en.wikipedia.org/wiki/High_Bridge,_New_Jersey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</row>
    <row r="215" spans="1:47" ht="16" customHeight="1" x14ac:dyDescent="0.2">
      <c r="A215" s="13" t="s">
        <v>704</v>
      </c>
      <c r="B215" s="13" t="s">
        <v>314</v>
      </c>
      <c r="C215" s="13" t="s">
        <v>705</v>
      </c>
      <c r="D215" s="13" t="s">
        <v>80</v>
      </c>
      <c r="E215" s="13" t="s">
        <v>83</v>
      </c>
      <c r="F215" s="13">
        <v>119</v>
      </c>
      <c r="G215" s="13" t="s">
        <v>706</v>
      </c>
      <c r="H215" s="14">
        <v>45185</v>
      </c>
      <c r="I215" s="13" t="s">
        <v>1934</v>
      </c>
      <c r="J215" s="13" t="s">
        <v>1935</v>
      </c>
      <c r="K215" s="13" t="str">
        <f t="shared" si="9"/>
        <v>https://en.wikipedia.org/wiki/Highland_Park,_New_Jersey</v>
      </c>
      <c r="L215" s="13" t="s">
        <v>707</v>
      </c>
      <c r="M215" s="13" t="s">
        <v>708</v>
      </c>
      <c r="N215" s="13" t="s">
        <v>709</v>
      </c>
      <c r="O215" s="13" t="s">
        <v>710</v>
      </c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 t="s">
        <v>711</v>
      </c>
      <c r="AM215" s="13" t="s">
        <v>708</v>
      </c>
      <c r="AN215" s="13"/>
      <c r="AO215" s="13"/>
      <c r="AP215" s="13" t="s">
        <v>712</v>
      </c>
      <c r="AQ215" s="13" t="s">
        <v>713</v>
      </c>
      <c r="AR215" s="13"/>
      <c r="AS215" s="13"/>
      <c r="AT215" s="13"/>
      <c r="AU215" s="13"/>
    </row>
    <row r="216" spans="1:47" ht="16" customHeight="1" x14ac:dyDescent="0.2">
      <c r="A216" s="15" t="s">
        <v>714</v>
      </c>
      <c r="B216" s="15" t="s">
        <v>59</v>
      </c>
      <c r="C216" s="15" t="s">
        <v>715</v>
      </c>
      <c r="D216" s="15" t="s">
        <v>80</v>
      </c>
      <c r="E216" s="15" t="s">
        <v>62</v>
      </c>
      <c r="F216" s="15"/>
      <c r="G216" s="15" t="s">
        <v>716</v>
      </c>
      <c r="H216" s="16">
        <v>45100</v>
      </c>
      <c r="I216" s="15" t="s">
        <v>716</v>
      </c>
      <c r="J216" s="15" t="s">
        <v>1936</v>
      </c>
      <c r="K216" s="13" t="str">
        <f t="shared" si="9"/>
        <v>https://en.wikipedia.org/wiki/Highlands,_New_Jersey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</row>
    <row r="217" spans="1:47" ht="16" customHeight="1" x14ac:dyDescent="0.2">
      <c r="A217" s="13" t="s">
        <v>717</v>
      </c>
      <c r="B217" s="13" t="s">
        <v>462</v>
      </c>
      <c r="C217" s="13" t="s">
        <v>718</v>
      </c>
      <c r="D217" s="13" t="s">
        <v>80</v>
      </c>
      <c r="E217" s="13" t="s">
        <v>72</v>
      </c>
      <c r="F217" s="13">
        <v>150</v>
      </c>
      <c r="G217" s="13" t="s">
        <v>719</v>
      </c>
      <c r="H217" s="14">
        <v>45263</v>
      </c>
      <c r="I217" s="13" t="s">
        <v>719</v>
      </c>
      <c r="J217" s="13" t="s">
        <v>1937</v>
      </c>
      <c r="K217" s="13" t="str">
        <f t="shared" si="9"/>
        <v>https://en.wikipedia.org/wiki/Hightstown,_New_Jersey</v>
      </c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</row>
    <row r="218" spans="1:47" ht="16" customHeight="1" x14ac:dyDescent="0.2">
      <c r="A218" s="15" t="s">
        <v>720</v>
      </c>
      <c r="B218" s="15" t="s">
        <v>175</v>
      </c>
      <c r="C218" s="15" t="s">
        <v>721</v>
      </c>
      <c r="D218" s="15" t="s">
        <v>61</v>
      </c>
      <c r="E218" s="15" t="s">
        <v>62</v>
      </c>
      <c r="F218" s="15"/>
      <c r="G218" s="15" t="s">
        <v>722</v>
      </c>
      <c r="H218" s="16">
        <v>43756</v>
      </c>
      <c r="I218" s="15"/>
      <c r="J218" s="15"/>
      <c r="K218" s="13" t="str">
        <f t="shared" si="9"/>
        <v>https://en.wikipedia.org/wiki/Hillsborough_Township,_New_Jersey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</row>
    <row r="219" spans="1:47" ht="16" customHeight="1" x14ac:dyDescent="0.2">
      <c r="A219" s="13" t="s">
        <v>723</v>
      </c>
      <c r="B219" s="13" t="s">
        <v>78</v>
      </c>
      <c r="C219" s="13" t="s">
        <v>724</v>
      </c>
      <c r="D219" s="13" t="s">
        <v>80</v>
      </c>
      <c r="E219" s="13" t="s">
        <v>68</v>
      </c>
      <c r="F219" s="13"/>
      <c r="G219" s="13"/>
      <c r="H219" s="14"/>
      <c r="I219" s="13"/>
      <c r="J219" s="13"/>
      <c r="K219" s="13" t="str">
        <f t="shared" si="9"/>
        <v>https://en.wikipedia.org/wiki/Hillsdale,_New_Jersey</v>
      </c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</row>
    <row r="220" spans="1:47" ht="16" customHeight="1" x14ac:dyDescent="0.2">
      <c r="A220" s="15" t="s">
        <v>725</v>
      </c>
      <c r="B220" s="15" t="s">
        <v>197</v>
      </c>
      <c r="C220" s="15" t="s">
        <v>726</v>
      </c>
      <c r="D220" s="15" t="s">
        <v>61</v>
      </c>
      <c r="E220" s="15" t="s">
        <v>68</v>
      </c>
      <c r="F220" s="15"/>
      <c r="G220" s="15"/>
      <c r="H220" s="16"/>
      <c r="I220" s="15"/>
      <c r="J220" s="15"/>
      <c r="K220" s="13" t="str">
        <f t="shared" si="9"/>
        <v>https://en.wikipedia.org/wiki/Hillside_Township,_New_Jersey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</row>
    <row r="221" spans="1:47" ht="16" customHeight="1" x14ac:dyDescent="0.2">
      <c r="A221" s="13" t="s">
        <v>727</v>
      </c>
      <c r="B221" s="13" t="s">
        <v>78</v>
      </c>
      <c r="C221" s="13" t="s">
        <v>728</v>
      </c>
      <c r="D221" s="13" t="s">
        <v>80</v>
      </c>
      <c r="E221" s="13" t="s">
        <v>68</v>
      </c>
      <c r="F221" s="13"/>
      <c r="G221" s="13"/>
      <c r="H221" s="14"/>
      <c r="I221" s="13"/>
      <c r="J221" s="13"/>
      <c r="K221" s="13" t="str">
        <f t="shared" si="9"/>
        <v>https://en.wikipedia.org/wiki/Ho-Ho-Kus,_New_Jersey</v>
      </c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</row>
    <row r="222" spans="1:47" ht="16" customHeight="1" x14ac:dyDescent="0.2">
      <c r="A222" s="15" t="s">
        <v>729</v>
      </c>
      <c r="B222" s="15" t="s">
        <v>157</v>
      </c>
      <c r="C222" s="15" t="s">
        <v>730</v>
      </c>
      <c r="D222" s="15" t="s">
        <v>67</v>
      </c>
      <c r="E222" s="15" t="s">
        <v>62</v>
      </c>
      <c r="F222" s="15"/>
      <c r="G222" s="15" t="s">
        <v>731</v>
      </c>
      <c r="H222" s="16">
        <v>42659</v>
      </c>
      <c r="I222" s="15" t="s">
        <v>731</v>
      </c>
      <c r="J222" s="15" t="s">
        <v>1938</v>
      </c>
      <c r="K222" s="13" t="str">
        <f t="shared" si="9"/>
        <v>https://en.wikipedia.org/wiki/Hoboken,_New_Jersey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</row>
    <row r="223" spans="1:47" ht="16" customHeight="1" x14ac:dyDescent="0.2">
      <c r="A223" s="13" t="s">
        <v>732</v>
      </c>
      <c r="B223" s="13" t="s">
        <v>70</v>
      </c>
      <c r="C223" s="13" t="s">
        <v>733</v>
      </c>
      <c r="D223" s="13" t="s">
        <v>61</v>
      </c>
      <c r="E223" s="13" t="s">
        <v>68</v>
      </c>
      <c r="F223" s="13"/>
      <c r="G223" s="13"/>
      <c r="H223" s="14"/>
      <c r="I223" s="13"/>
      <c r="J223" s="13"/>
      <c r="K223" s="13" t="str">
        <f t="shared" si="9"/>
        <v>https://en.wikipedia.org/wiki/Holland_Township,_New_Jersey</v>
      </c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</row>
    <row r="224" spans="1:47" ht="16" customHeight="1" x14ac:dyDescent="0.2">
      <c r="A224" s="15" t="s">
        <v>734</v>
      </c>
      <c r="B224" s="15" t="s">
        <v>59</v>
      </c>
      <c r="C224" s="15" t="s">
        <v>735</v>
      </c>
      <c r="D224" s="15" t="s">
        <v>61</v>
      </c>
      <c r="E224" s="15" t="s">
        <v>62</v>
      </c>
      <c r="F224" s="15"/>
      <c r="G224" s="15" t="s">
        <v>736</v>
      </c>
      <c r="H224" s="16">
        <v>45073</v>
      </c>
      <c r="I224" s="15" t="s">
        <v>736</v>
      </c>
      <c r="J224" s="15" t="s">
        <v>1941</v>
      </c>
      <c r="K224" s="13" t="str">
        <f t="shared" si="9"/>
        <v>https://en.wikipedia.org/wiki/Holmdel_Township,_New_Jersey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</row>
    <row r="225" spans="1:47" ht="16" customHeight="1" x14ac:dyDescent="0.2">
      <c r="A225" s="13" t="s">
        <v>737</v>
      </c>
      <c r="B225" s="13" t="s">
        <v>106</v>
      </c>
      <c r="C225" s="13" t="s">
        <v>738</v>
      </c>
      <c r="D225" s="13" t="s">
        <v>80</v>
      </c>
      <c r="E225" s="13" t="s">
        <v>83</v>
      </c>
      <c r="F225" s="13">
        <v>128</v>
      </c>
      <c r="G225" s="13" t="s">
        <v>739</v>
      </c>
      <c r="H225" s="14">
        <v>45220</v>
      </c>
      <c r="I225" s="13" t="s">
        <v>739</v>
      </c>
      <c r="J225" s="13" t="s">
        <v>1942</v>
      </c>
      <c r="K225" s="13" t="str">
        <f t="shared" si="9"/>
        <v>https://en.wikipedia.org/wiki/Hopatcong,_New_Jersey</v>
      </c>
      <c r="L225" s="13" t="s">
        <v>740</v>
      </c>
      <c r="M225" s="13" t="s">
        <v>741</v>
      </c>
      <c r="N225" s="13" t="s">
        <v>742</v>
      </c>
      <c r="O225" s="13" t="s">
        <v>743</v>
      </c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</row>
    <row r="226" spans="1:47" ht="16" customHeight="1" x14ac:dyDescent="0.2">
      <c r="A226" s="15" t="s">
        <v>744</v>
      </c>
      <c r="B226" s="15" t="s">
        <v>75</v>
      </c>
      <c r="C226" s="15" t="s">
        <v>745</v>
      </c>
      <c r="D226" s="15" t="s">
        <v>61</v>
      </c>
      <c r="E226" s="15" t="s">
        <v>68</v>
      </c>
      <c r="F226" s="15"/>
      <c r="G226" s="15"/>
      <c r="H226" s="16"/>
      <c r="I226" s="15"/>
      <c r="J226" s="15"/>
      <c r="K226" s="13" t="str">
        <f t="shared" si="9"/>
        <v>https://en.wikipedia.org/wiki/Hope_Township,_New_Jersey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</row>
    <row r="227" spans="1:47" ht="16" customHeight="1" x14ac:dyDescent="0.2">
      <c r="A227" s="13" t="s">
        <v>746</v>
      </c>
      <c r="B227" s="13" t="s">
        <v>263</v>
      </c>
      <c r="C227" s="13" t="s">
        <v>747</v>
      </c>
      <c r="D227" s="13" t="s">
        <v>61</v>
      </c>
      <c r="E227" s="13" t="s">
        <v>72</v>
      </c>
      <c r="F227" s="13">
        <v>198</v>
      </c>
      <c r="G227" t="s">
        <v>748</v>
      </c>
      <c r="H227" s="14">
        <v>45444</v>
      </c>
      <c r="I227" s="13" t="s">
        <v>1943</v>
      </c>
      <c r="J227" s="13" t="s">
        <v>1944</v>
      </c>
      <c r="K227" s="13" t="s">
        <v>749</v>
      </c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</row>
    <row r="228" spans="1:47" ht="16" customHeight="1" x14ac:dyDescent="0.2">
      <c r="A228" s="15" t="s">
        <v>746</v>
      </c>
      <c r="B228" s="15" t="s">
        <v>462</v>
      </c>
      <c r="C228" s="15" t="s">
        <v>750</v>
      </c>
      <c r="D228" s="15" t="s">
        <v>80</v>
      </c>
      <c r="E228" s="15" t="s">
        <v>68</v>
      </c>
      <c r="F228" s="15"/>
      <c r="G228" s="15"/>
      <c r="H228" s="16"/>
      <c r="I228" s="15"/>
      <c r="J228" s="15"/>
      <c r="K228" s="13" t="s">
        <v>751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</row>
    <row r="229" spans="1:47" ht="16" customHeight="1" x14ac:dyDescent="0.2">
      <c r="A229" s="13" t="s">
        <v>746</v>
      </c>
      <c r="B229" s="13" t="s">
        <v>462</v>
      </c>
      <c r="C229" s="13" t="s">
        <v>752</v>
      </c>
      <c r="D229" s="13" t="s">
        <v>61</v>
      </c>
      <c r="E229" s="13" t="s">
        <v>72</v>
      </c>
      <c r="F229" s="13">
        <v>151</v>
      </c>
      <c r="G229" s="13" t="s">
        <v>753</v>
      </c>
      <c r="H229" s="14">
        <v>45268</v>
      </c>
      <c r="I229" s="13" t="s">
        <v>753</v>
      </c>
      <c r="J229" s="13" t="s">
        <v>1945</v>
      </c>
      <c r="K229" s="13" t="s">
        <v>754</v>
      </c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</row>
    <row r="230" spans="1:47" ht="16" customHeight="1" x14ac:dyDescent="0.2">
      <c r="A230" s="15" t="s">
        <v>755</v>
      </c>
      <c r="B230" s="15" t="s">
        <v>59</v>
      </c>
      <c r="C230" s="15" t="s">
        <v>756</v>
      </c>
      <c r="D230" s="15" t="s">
        <v>61</v>
      </c>
      <c r="E230" s="15" t="s">
        <v>62</v>
      </c>
      <c r="F230" s="15"/>
      <c r="G230" s="15" t="s">
        <v>757</v>
      </c>
      <c r="H230" s="16">
        <v>42681</v>
      </c>
      <c r="I230" s="15" t="s">
        <v>757</v>
      </c>
      <c r="J230" s="15" t="s">
        <v>1992</v>
      </c>
      <c r="K230" s="13" t="str">
        <f t="shared" ref="K230:K254" si="10">IF(A230="","","https://en.wikipedia.org/wiki/"&amp;SUBSTITUTE(A230," ","_")&amp;IF(D230="township","_Township","")&amp;",_New_Jersey")</f>
        <v>https://en.wikipedia.org/wiki/Howell_Township,_New_Jersey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</row>
    <row r="231" spans="1:47" ht="16" customHeight="1" x14ac:dyDescent="0.2">
      <c r="A231" s="13" t="s">
        <v>758</v>
      </c>
      <c r="B231" s="13" t="s">
        <v>75</v>
      </c>
      <c r="C231" s="13" t="s">
        <v>759</v>
      </c>
      <c r="D231" s="13" t="s">
        <v>61</v>
      </c>
      <c r="E231" s="13" t="s">
        <v>68</v>
      </c>
      <c r="F231" s="13"/>
      <c r="G231" s="13"/>
      <c r="H231" s="14"/>
      <c r="I231" s="13"/>
      <c r="J231" s="13"/>
      <c r="K231" s="13" t="str">
        <f t="shared" si="10"/>
        <v>https://en.wikipedia.org/wiki/Independence_Township,_New_Jersey</v>
      </c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</row>
    <row r="232" spans="1:47" ht="16" customHeight="1" x14ac:dyDescent="0.2">
      <c r="A232" s="15" t="s">
        <v>760</v>
      </c>
      <c r="B232" s="15" t="s">
        <v>59</v>
      </c>
      <c r="C232" s="15" t="s">
        <v>761</v>
      </c>
      <c r="D232" s="15" t="s">
        <v>80</v>
      </c>
      <c r="E232" s="15" t="s">
        <v>68</v>
      </c>
      <c r="F232" s="15"/>
      <c r="G232" s="15"/>
      <c r="H232" s="16"/>
      <c r="I232" s="15"/>
      <c r="J232" s="15"/>
      <c r="K232" s="13" t="str">
        <f t="shared" si="10"/>
        <v>https://en.wikipedia.org/wiki/Interlaken,_New_Jersey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</row>
    <row r="233" spans="1:47" ht="16" customHeight="1" x14ac:dyDescent="0.2">
      <c r="A233" s="13" t="s">
        <v>762</v>
      </c>
      <c r="B233" s="13" t="s">
        <v>178</v>
      </c>
      <c r="C233" s="13" t="s">
        <v>763</v>
      </c>
      <c r="D233" s="13" t="s">
        <v>61</v>
      </c>
      <c r="E233" s="13" t="s">
        <v>83</v>
      </c>
      <c r="F233" s="13">
        <v>109</v>
      </c>
      <c r="G233" s="13" t="s">
        <v>764</v>
      </c>
      <c r="H233" s="14">
        <v>45166</v>
      </c>
      <c r="I233" s="13" t="s">
        <v>1946</v>
      </c>
      <c r="J233" s="13" t="s">
        <v>1947</v>
      </c>
      <c r="K233" s="13" t="str">
        <f t="shared" si="10"/>
        <v>https://en.wikipedia.org/wiki/Irvington_Township,_New_Jersey</v>
      </c>
      <c r="L233" s="13" t="s">
        <v>765</v>
      </c>
      <c r="M233" s="13" t="s">
        <v>766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 t="s">
        <v>767</v>
      </c>
      <c r="AM233" s="13" t="s">
        <v>766</v>
      </c>
      <c r="AN233" s="13"/>
      <c r="AO233" s="13"/>
      <c r="AP233" s="13"/>
      <c r="AQ233" s="13"/>
      <c r="AR233" s="13"/>
      <c r="AS233" s="13"/>
      <c r="AT233" s="13"/>
      <c r="AU233" s="13"/>
    </row>
    <row r="234" spans="1:47" ht="16" customHeight="1" x14ac:dyDescent="0.2">
      <c r="A234" s="15" t="s">
        <v>768</v>
      </c>
      <c r="B234" s="15" t="s">
        <v>139</v>
      </c>
      <c r="C234" s="15" t="s">
        <v>769</v>
      </c>
      <c r="D234" s="15" t="s">
        <v>80</v>
      </c>
      <c r="E234" s="15" t="s">
        <v>68</v>
      </c>
      <c r="F234" s="15"/>
      <c r="G234" s="15"/>
      <c r="H234" s="16"/>
      <c r="I234" s="15"/>
      <c r="J234" s="15"/>
      <c r="K234" s="13" t="str">
        <f t="shared" si="10"/>
        <v>https://en.wikipedia.org/wiki/Island_Heights,_New_Jersey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</row>
    <row r="235" spans="1:47" ht="16" customHeight="1" x14ac:dyDescent="0.2">
      <c r="A235" s="13" t="s">
        <v>770</v>
      </c>
      <c r="B235" s="13" t="s">
        <v>139</v>
      </c>
      <c r="C235" s="13" t="s">
        <v>771</v>
      </c>
      <c r="D235" s="13" t="s">
        <v>61</v>
      </c>
      <c r="E235" s="13" t="s">
        <v>62</v>
      </c>
      <c r="F235" s="13"/>
      <c r="G235" t="s">
        <v>772</v>
      </c>
      <c r="H235" s="14">
        <v>42666</v>
      </c>
      <c r="I235" s="13"/>
      <c r="J235" s="13"/>
      <c r="K235" s="13" t="str">
        <f t="shared" si="10"/>
        <v>https://en.wikipedia.org/wiki/Jackson_Township,_New_Jersey</v>
      </c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</row>
    <row r="236" spans="1:47" ht="16" customHeight="1" x14ac:dyDescent="0.2">
      <c r="A236" s="15" t="s">
        <v>773</v>
      </c>
      <c r="B236" s="15" t="s">
        <v>314</v>
      </c>
      <c r="C236" s="15" t="s">
        <v>774</v>
      </c>
      <c r="D236" s="15" t="s">
        <v>80</v>
      </c>
      <c r="E236" s="15" t="s">
        <v>72</v>
      </c>
      <c r="F236" s="15">
        <v>207</v>
      </c>
      <c r="G236" s="15" t="s">
        <v>775</v>
      </c>
      <c r="H236" s="16">
        <v>45473</v>
      </c>
      <c r="I236" s="15" t="s">
        <v>775</v>
      </c>
      <c r="J236" s="15" t="s">
        <v>1993</v>
      </c>
      <c r="K236" s="13" t="str">
        <f t="shared" si="10"/>
        <v>https://en.wikipedia.org/wiki/Jamesburg,_New_Jersey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</row>
    <row r="237" spans="1:47" ht="16" customHeight="1" x14ac:dyDescent="0.2">
      <c r="A237" s="13" t="s">
        <v>776</v>
      </c>
      <c r="B237" s="13" t="s">
        <v>236</v>
      </c>
      <c r="C237" s="13" t="s">
        <v>777</v>
      </c>
      <c r="D237" s="13" t="s">
        <v>61</v>
      </c>
      <c r="E237" s="13" t="s">
        <v>72</v>
      </c>
      <c r="F237" s="13">
        <v>162</v>
      </c>
      <c r="G237" s="13" t="s">
        <v>778</v>
      </c>
      <c r="H237" s="14">
        <v>45292</v>
      </c>
      <c r="I237" s="13" t="s">
        <v>778</v>
      </c>
      <c r="J237" s="13" t="s">
        <v>1948</v>
      </c>
      <c r="K237" s="13" t="str">
        <f t="shared" si="10"/>
        <v>https://en.wikipedia.org/wiki/Jefferson_Township,_New_Jersey</v>
      </c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</row>
    <row r="238" spans="1:47" ht="16" customHeight="1" x14ac:dyDescent="0.2">
      <c r="A238" s="15" t="s">
        <v>779</v>
      </c>
      <c r="B238" s="15" t="s">
        <v>157</v>
      </c>
      <c r="C238" s="15" t="s">
        <v>780</v>
      </c>
      <c r="D238" s="15" t="s">
        <v>67</v>
      </c>
      <c r="E238" s="15" t="s">
        <v>62</v>
      </c>
      <c r="F238" s="15"/>
      <c r="G238" s="15" t="s">
        <v>781</v>
      </c>
      <c r="H238" s="16">
        <v>43002</v>
      </c>
      <c r="I238" s="15" t="s">
        <v>1949</v>
      </c>
      <c r="J238" s="15" t="s">
        <v>1950</v>
      </c>
      <c r="K238" s="13" t="str">
        <f t="shared" si="10"/>
        <v>https://en.wikipedia.org/wiki/Jersey_City,_New_Jersey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</row>
    <row r="239" spans="1:47" ht="16" customHeight="1" x14ac:dyDescent="0.2">
      <c r="A239" s="13" t="s">
        <v>782</v>
      </c>
      <c r="B239" s="13" t="s">
        <v>59</v>
      </c>
      <c r="C239" s="13" t="s">
        <v>783</v>
      </c>
      <c r="D239" s="13" t="s">
        <v>80</v>
      </c>
      <c r="E239" s="13" t="s">
        <v>72</v>
      </c>
      <c r="F239" s="13">
        <v>223</v>
      </c>
      <c r="G239" s="13" t="s">
        <v>784</v>
      </c>
      <c r="H239" s="14">
        <v>45528</v>
      </c>
      <c r="I239" s="13"/>
      <c r="J239" s="13"/>
      <c r="K239" s="13" t="str">
        <f t="shared" si="10"/>
        <v>https://en.wikipedia.org/wiki/Keansburg,_New_Jersey</v>
      </c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</row>
    <row r="240" spans="1:47" ht="16" customHeight="1" x14ac:dyDescent="0.2">
      <c r="A240" s="15" t="s">
        <v>785</v>
      </c>
      <c r="B240" s="15" t="s">
        <v>157</v>
      </c>
      <c r="C240" s="15" t="s">
        <v>786</v>
      </c>
      <c r="D240" s="15" t="s">
        <v>189</v>
      </c>
      <c r="E240" s="15" t="s">
        <v>72</v>
      </c>
      <c r="F240" s="15">
        <v>147</v>
      </c>
      <c r="G240" s="15" t="s">
        <v>787</v>
      </c>
      <c r="H240" s="16">
        <v>45256</v>
      </c>
      <c r="I240" s="15" t="s">
        <v>1951</v>
      </c>
      <c r="J240" s="15" t="s">
        <v>1952</v>
      </c>
      <c r="K240" s="13" t="str">
        <f t="shared" si="10"/>
        <v>https://en.wikipedia.org/wiki/Kearny,_New_Jersey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</row>
    <row r="241" spans="1:47" ht="16" customHeight="1" x14ac:dyDescent="0.2">
      <c r="A241" s="13" t="s">
        <v>788</v>
      </c>
      <c r="B241" s="13" t="s">
        <v>197</v>
      </c>
      <c r="C241" s="13" t="s">
        <v>789</v>
      </c>
      <c r="D241" s="13" t="s">
        <v>80</v>
      </c>
      <c r="E241" s="13" t="s">
        <v>68</v>
      </c>
      <c r="F241" s="13"/>
      <c r="G241" s="13"/>
      <c r="H241" s="14"/>
      <c r="I241" s="13"/>
      <c r="J241" s="13"/>
      <c r="K241" s="13" t="str">
        <f t="shared" si="10"/>
        <v>https://en.wikipedia.org/wiki/Kenilworth,_New_Jersey</v>
      </c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</row>
    <row r="242" spans="1:47" ht="16" customHeight="1" x14ac:dyDescent="0.2">
      <c r="A242" s="15" t="s">
        <v>790</v>
      </c>
      <c r="B242" s="15" t="s">
        <v>59</v>
      </c>
      <c r="C242" s="15" t="s">
        <v>791</v>
      </c>
      <c r="D242" s="15" t="s">
        <v>80</v>
      </c>
      <c r="E242" s="15" t="s">
        <v>62</v>
      </c>
      <c r="F242" s="15"/>
      <c r="G242" s="15" t="s">
        <v>792</v>
      </c>
      <c r="H242" s="16">
        <v>44983</v>
      </c>
      <c r="I242" s="15" t="s">
        <v>792</v>
      </c>
      <c r="J242" s="15" t="s">
        <v>1953</v>
      </c>
      <c r="K242" s="13" t="str">
        <f t="shared" si="10"/>
        <v>https://en.wikipedia.org/wiki/Keyport,_New_Jersey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</row>
    <row r="243" spans="1:47" ht="16" customHeight="1" x14ac:dyDescent="0.2">
      <c r="A243" s="13" t="s">
        <v>793</v>
      </c>
      <c r="B243" s="13" t="s">
        <v>70</v>
      </c>
      <c r="C243" s="13" t="s">
        <v>794</v>
      </c>
      <c r="D243" s="13" t="s">
        <v>61</v>
      </c>
      <c r="E243" s="13" t="s">
        <v>62</v>
      </c>
      <c r="F243" s="13"/>
      <c r="G243" s="13" t="s">
        <v>795</v>
      </c>
      <c r="H243" s="14">
        <v>42983</v>
      </c>
      <c r="I243" s="13" t="s">
        <v>1954</v>
      </c>
      <c r="J243" s="13" t="s">
        <v>1955</v>
      </c>
      <c r="K243" s="13" t="str">
        <f t="shared" si="10"/>
        <v>https://en.wikipedia.org/wiki/Kingwood_Township,_New_Jersey</v>
      </c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</row>
    <row r="244" spans="1:47" ht="16" customHeight="1" x14ac:dyDescent="0.2">
      <c r="A244" s="15" t="s">
        <v>796</v>
      </c>
      <c r="B244" s="15" t="s">
        <v>236</v>
      </c>
      <c r="C244" s="15" t="s">
        <v>797</v>
      </c>
      <c r="D244" s="15" t="s">
        <v>80</v>
      </c>
      <c r="E244" s="15" t="s">
        <v>68</v>
      </c>
      <c r="F244" s="15"/>
      <c r="G244" s="15"/>
      <c r="H244" s="16"/>
      <c r="I244" s="15"/>
      <c r="J244" s="15"/>
      <c r="K244" s="13" t="str">
        <f t="shared" si="10"/>
        <v>https://en.wikipedia.org/wiki/Kinnelon,_New_Jersey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</row>
    <row r="245" spans="1:47" ht="16" customHeight="1" x14ac:dyDescent="0.2">
      <c r="A245" s="13" t="s">
        <v>798</v>
      </c>
      <c r="B245" s="13" t="s">
        <v>75</v>
      </c>
      <c r="C245" s="13" t="s">
        <v>799</v>
      </c>
      <c r="D245" s="13" t="s">
        <v>61</v>
      </c>
      <c r="E245" s="13" t="s">
        <v>72</v>
      </c>
      <c r="F245" s="13">
        <v>269</v>
      </c>
      <c r="G245" s="13" t="s">
        <v>800</v>
      </c>
      <c r="H245" s="14">
        <v>45772</v>
      </c>
      <c r="I245" s="13" t="s">
        <v>800</v>
      </c>
      <c r="J245" s="13" t="s">
        <v>1956</v>
      </c>
      <c r="K245" s="13" t="str">
        <f t="shared" si="10"/>
        <v>https://en.wikipedia.org/wiki/Knowlton_Township,_New_Jersey</v>
      </c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</row>
    <row r="246" spans="1:47" ht="16" customHeight="1" x14ac:dyDescent="0.2">
      <c r="A246" s="15" t="s">
        <v>801</v>
      </c>
      <c r="B246" s="15" t="s">
        <v>139</v>
      </c>
      <c r="C246" s="15" t="s">
        <v>802</v>
      </c>
      <c r="D246" s="15" t="s">
        <v>61</v>
      </c>
      <c r="E246" s="15" t="s">
        <v>83</v>
      </c>
      <c r="F246" s="15">
        <v>107</v>
      </c>
      <c r="G246" t="s">
        <v>803</v>
      </c>
      <c r="H246" s="16">
        <v>45160</v>
      </c>
      <c r="I246" s="15" t="s">
        <v>803</v>
      </c>
      <c r="J246" s="15" t="s">
        <v>1957</v>
      </c>
      <c r="K246" s="13" t="str">
        <f t="shared" si="10"/>
        <v>https://en.wikipedia.org/wiki/Lacey_Township,_New_Jersey</v>
      </c>
      <c r="L246" s="15" t="s">
        <v>804</v>
      </c>
      <c r="M246" s="15" t="s">
        <v>805</v>
      </c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 t="s">
        <v>804</v>
      </c>
      <c r="AG246" s="15" t="s">
        <v>806</v>
      </c>
      <c r="AH246" s="15"/>
      <c r="AI246" s="15"/>
      <c r="AJ246" s="15"/>
      <c r="AK246" s="15"/>
      <c r="AL246" s="15" t="s">
        <v>807</v>
      </c>
      <c r="AM246" s="15" t="s">
        <v>805</v>
      </c>
      <c r="AN246" s="15"/>
      <c r="AO246" s="15"/>
      <c r="AP246" s="15"/>
      <c r="AQ246" s="15"/>
      <c r="AR246" s="15"/>
      <c r="AS246" s="15"/>
      <c r="AT246" s="15"/>
      <c r="AU246" s="15"/>
    </row>
    <row r="247" spans="1:47" ht="16" customHeight="1" x14ac:dyDescent="0.2">
      <c r="A247" s="13" t="s">
        <v>808</v>
      </c>
      <c r="B247" s="13" t="s">
        <v>106</v>
      </c>
      <c r="C247" s="13" t="s">
        <v>809</v>
      </c>
      <c r="D247" s="13" t="s">
        <v>61</v>
      </c>
      <c r="E247" s="13" t="s">
        <v>72</v>
      </c>
      <c r="F247" s="13">
        <v>254</v>
      </c>
      <c r="G247" s="13" t="s">
        <v>810</v>
      </c>
      <c r="H247" s="14">
        <v>45645</v>
      </c>
      <c r="I247" s="13" t="s">
        <v>810</v>
      </c>
      <c r="J247" s="13" t="s">
        <v>1994</v>
      </c>
      <c r="K247" s="13" t="str">
        <f t="shared" si="10"/>
        <v>https://en.wikipedia.org/wiki/Lafayette_Township,_New_Jersey</v>
      </c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</row>
    <row r="248" spans="1:47" ht="16" customHeight="1" x14ac:dyDescent="0.2">
      <c r="A248" s="15" t="s">
        <v>811</v>
      </c>
      <c r="B248" s="15" t="s">
        <v>59</v>
      </c>
      <c r="C248" s="15" t="s">
        <v>812</v>
      </c>
      <c r="D248" s="15" t="s">
        <v>80</v>
      </c>
      <c r="E248" s="15" t="s">
        <v>68</v>
      </c>
      <c r="F248" s="15"/>
      <c r="G248" s="15"/>
      <c r="H248" s="16"/>
      <c r="I248" s="15"/>
      <c r="J248" s="15"/>
      <c r="K248" s="13" t="str">
        <f t="shared" si="10"/>
        <v>https://en.wikipedia.org/wiki/Lake_Como,_New_Jersey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</row>
    <row r="249" spans="1:47" ht="16" customHeight="1" x14ac:dyDescent="0.2">
      <c r="A249" s="13" t="s">
        <v>813</v>
      </c>
      <c r="B249" s="13" t="s">
        <v>139</v>
      </c>
      <c r="C249" s="13" t="s">
        <v>814</v>
      </c>
      <c r="D249" s="13" t="s">
        <v>80</v>
      </c>
      <c r="E249" s="13" t="s">
        <v>83</v>
      </c>
      <c r="F249" s="13">
        <v>112</v>
      </c>
      <c r="G249" t="s">
        <v>815</v>
      </c>
      <c r="H249" s="14">
        <v>45173</v>
      </c>
      <c r="I249" s="13" t="s">
        <v>815</v>
      </c>
      <c r="J249" s="13" t="s">
        <v>1958</v>
      </c>
      <c r="K249" s="13" t="str">
        <f t="shared" si="10"/>
        <v>https://en.wikipedia.org/wiki/Lakehurst,_New_Jersey</v>
      </c>
      <c r="L249" s="13" t="s">
        <v>816</v>
      </c>
      <c r="M249" s="13" t="s">
        <v>817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 t="s">
        <v>816</v>
      </c>
      <c r="AG249" s="13" t="s">
        <v>818</v>
      </c>
      <c r="AH249" s="13"/>
      <c r="AI249" s="13"/>
      <c r="AJ249" s="13"/>
      <c r="AK249" s="13"/>
      <c r="AL249" s="13" t="s">
        <v>819</v>
      </c>
      <c r="AM249" s="13" t="s">
        <v>817</v>
      </c>
      <c r="AN249" s="13"/>
      <c r="AO249" s="13"/>
      <c r="AP249" s="13"/>
      <c r="AQ249" s="13"/>
      <c r="AR249" s="13"/>
      <c r="AS249" s="13"/>
      <c r="AT249" s="13"/>
      <c r="AU249" s="13"/>
    </row>
    <row r="250" spans="1:47" ht="16" customHeight="1" x14ac:dyDescent="0.2">
      <c r="A250" s="15" t="s">
        <v>820</v>
      </c>
      <c r="B250" s="15" t="s">
        <v>139</v>
      </c>
      <c r="C250" s="15" t="s">
        <v>821</v>
      </c>
      <c r="D250" s="15" t="s">
        <v>61</v>
      </c>
      <c r="E250" s="15" t="s">
        <v>72</v>
      </c>
      <c r="F250" s="15">
        <v>190</v>
      </c>
      <c r="G250" t="s">
        <v>822</v>
      </c>
      <c r="H250" s="16">
        <v>45403</v>
      </c>
      <c r="I250" s="15" t="s">
        <v>822</v>
      </c>
      <c r="J250" s="15" t="s">
        <v>1995</v>
      </c>
      <c r="K250" s="13" t="str">
        <f t="shared" si="10"/>
        <v>https://en.wikipedia.org/wiki/Lakewood_Township,_New_Jersey</v>
      </c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</row>
    <row r="251" spans="1:47" ht="16" customHeight="1" x14ac:dyDescent="0.2">
      <c r="A251" s="13" t="s">
        <v>823</v>
      </c>
      <c r="B251" s="13" t="s">
        <v>70</v>
      </c>
      <c r="C251" s="13" t="s">
        <v>824</v>
      </c>
      <c r="D251" s="13" t="s">
        <v>67</v>
      </c>
      <c r="E251" s="13" t="s">
        <v>83</v>
      </c>
      <c r="F251" s="13">
        <v>105</v>
      </c>
      <c r="G251" s="13" t="s">
        <v>825</v>
      </c>
      <c r="H251" s="14">
        <v>45157</v>
      </c>
      <c r="I251" s="13" t="s">
        <v>825</v>
      </c>
      <c r="J251" s="13" t="s">
        <v>1959</v>
      </c>
      <c r="K251" s="13" t="str">
        <f t="shared" si="10"/>
        <v>https://en.wikipedia.org/wiki/Lambertville,_New_Jersey</v>
      </c>
      <c r="L251" s="13" t="s">
        <v>826</v>
      </c>
      <c r="M251" s="13" t="s">
        <v>827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 t="s">
        <v>826</v>
      </c>
      <c r="AG251" s="13" t="s">
        <v>828</v>
      </c>
      <c r="AH251" s="13"/>
      <c r="AI251" s="13"/>
      <c r="AJ251" s="13"/>
      <c r="AK251" s="13"/>
      <c r="AL251" s="13" t="s">
        <v>829</v>
      </c>
      <c r="AM251" s="13" t="s">
        <v>827</v>
      </c>
      <c r="AN251" s="13"/>
      <c r="AO251" s="13"/>
      <c r="AP251" s="13"/>
      <c r="AQ251" s="13"/>
      <c r="AR251" s="13"/>
      <c r="AS251" s="13"/>
      <c r="AT251" s="13"/>
      <c r="AU251" s="13"/>
    </row>
    <row r="252" spans="1:47" ht="16" customHeight="1" x14ac:dyDescent="0.2">
      <c r="A252" s="15" t="s">
        <v>830</v>
      </c>
      <c r="B252" s="15" t="s">
        <v>123</v>
      </c>
      <c r="C252" s="15" t="s">
        <v>831</v>
      </c>
      <c r="D252" s="15" t="s">
        <v>80</v>
      </c>
      <c r="E252" s="15" t="s">
        <v>68</v>
      </c>
      <c r="F252" s="15"/>
      <c r="G252" s="15"/>
      <c r="H252" s="16"/>
      <c r="I252" s="15"/>
      <c r="J252" s="15"/>
      <c r="K252" s="13" t="str">
        <f t="shared" si="10"/>
        <v>https://en.wikipedia.org/wiki/Laurel_Springs,_New_Jersey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</row>
    <row r="253" spans="1:47" ht="16" customHeight="1" x14ac:dyDescent="0.2">
      <c r="A253" s="13" t="s">
        <v>832</v>
      </c>
      <c r="B253" s="13" t="s">
        <v>139</v>
      </c>
      <c r="C253" s="13" t="s">
        <v>833</v>
      </c>
      <c r="D253" s="13" t="s">
        <v>80</v>
      </c>
      <c r="E253" s="13" t="s">
        <v>68</v>
      </c>
      <c r="F253" s="13"/>
      <c r="G253" s="13"/>
      <c r="H253" s="14"/>
      <c r="I253" s="13"/>
      <c r="J253" s="13"/>
      <c r="K253" s="13" t="str">
        <f t="shared" si="10"/>
        <v>https://en.wikipedia.org/wiki/Lavallette,_New_Jersey</v>
      </c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</row>
    <row r="254" spans="1:47" ht="16" customHeight="1" x14ac:dyDescent="0.2">
      <c r="A254" s="15" t="s">
        <v>834</v>
      </c>
      <c r="B254" s="15" t="s">
        <v>123</v>
      </c>
      <c r="C254" s="15" t="s">
        <v>835</v>
      </c>
      <c r="D254" s="15" t="s">
        <v>80</v>
      </c>
      <c r="E254" s="15" t="s">
        <v>68</v>
      </c>
      <c r="F254" s="15"/>
      <c r="G254" s="15"/>
      <c r="H254" s="16"/>
      <c r="I254" s="15"/>
      <c r="J254" s="15"/>
      <c r="K254" s="13" t="str">
        <f t="shared" si="10"/>
        <v>https://en.wikipedia.org/wiki/Lawnside,_New_Jersey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</row>
    <row r="255" spans="1:47" ht="16" customHeight="1" x14ac:dyDescent="0.2">
      <c r="A255" s="13" t="s">
        <v>836</v>
      </c>
      <c r="B255" s="13" t="s">
        <v>263</v>
      </c>
      <c r="C255" s="13" t="s">
        <v>837</v>
      </c>
      <c r="D255" s="13" t="s">
        <v>61</v>
      </c>
      <c r="E255" s="13" t="s">
        <v>72</v>
      </c>
      <c r="F255" s="13">
        <v>199</v>
      </c>
      <c r="G255" t="s">
        <v>838</v>
      </c>
      <c r="H255" s="14">
        <v>45444</v>
      </c>
      <c r="I255" s="13" t="s">
        <v>1996</v>
      </c>
      <c r="J255" s="13" t="s">
        <v>1997</v>
      </c>
      <c r="K255" s="13" t="s">
        <v>839</v>
      </c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</row>
    <row r="256" spans="1:47" ht="16" customHeight="1" x14ac:dyDescent="0.2">
      <c r="A256" s="15" t="s">
        <v>836</v>
      </c>
      <c r="B256" s="15" t="s">
        <v>462</v>
      </c>
      <c r="C256" s="15" t="s">
        <v>840</v>
      </c>
      <c r="D256" s="15" t="s">
        <v>61</v>
      </c>
      <c r="E256" s="15" t="s">
        <v>83</v>
      </c>
      <c r="F256" s="15">
        <v>129</v>
      </c>
      <c r="G256" s="15" t="s">
        <v>841</v>
      </c>
      <c r="H256" s="16">
        <v>45221</v>
      </c>
      <c r="I256" s="15" t="s">
        <v>841</v>
      </c>
      <c r="J256" s="15" t="s">
        <v>842</v>
      </c>
      <c r="K256" s="13" t="s">
        <v>843</v>
      </c>
      <c r="L256" s="15" t="s">
        <v>844</v>
      </c>
      <c r="M256" s="15" t="s">
        <v>845</v>
      </c>
      <c r="N256" s="15" t="s">
        <v>846</v>
      </c>
      <c r="O256" s="15" t="s">
        <v>847</v>
      </c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 t="s">
        <v>844</v>
      </c>
      <c r="AG256" s="15" t="s">
        <v>848</v>
      </c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</row>
    <row r="257" spans="1:47" ht="16" customHeight="1" x14ac:dyDescent="0.2">
      <c r="A257" s="13" t="s">
        <v>849</v>
      </c>
      <c r="B257" s="13" t="s">
        <v>70</v>
      </c>
      <c r="C257" s="13" t="s">
        <v>850</v>
      </c>
      <c r="D257" s="13" t="s">
        <v>80</v>
      </c>
      <c r="E257" s="13" t="s">
        <v>68</v>
      </c>
      <c r="F257" s="13"/>
      <c r="G257" s="13"/>
      <c r="H257" s="14"/>
      <c r="I257" s="13"/>
      <c r="J257" s="13"/>
      <c r="K257" s="13" t="str">
        <f t="shared" ref="K257:K288" si="11">IF(A257="","","https://en.wikipedia.org/wiki/"&amp;SUBSTITUTE(A257," ","_")&amp;IF(D257="township","_Township","")&amp;",_New_Jersey")</f>
        <v>https://en.wikipedia.org/wiki/Lebanon,_New_Jersey</v>
      </c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</row>
    <row r="258" spans="1:47" ht="16" customHeight="1" x14ac:dyDescent="0.2">
      <c r="A258" s="15" t="s">
        <v>849</v>
      </c>
      <c r="B258" s="15" t="s">
        <v>70</v>
      </c>
      <c r="C258" s="15" t="s">
        <v>851</v>
      </c>
      <c r="D258" s="15" t="s">
        <v>61</v>
      </c>
      <c r="E258" s="15" t="s">
        <v>68</v>
      </c>
      <c r="F258" s="15"/>
      <c r="G258" s="15"/>
      <c r="H258" s="16"/>
      <c r="I258" s="15"/>
      <c r="J258" s="15"/>
      <c r="K258" s="13" t="str">
        <f t="shared" si="11"/>
        <v>https://en.wikipedia.org/wiki/Lebanon_Township,_New_Jersey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</row>
    <row r="259" spans="1:47" ht="16" customHeight="1" x14ac:dyDescent="0.2">
      <c r="A259" s="13" t="s">
        <v>852</v>
      </c>
      <c r="B259" s="13" t="s">
        <v>78</v>
      </c>
      <c r="C259" s="13" t="s">
        <v>853</v>
      </c>
      <c r="D259" s="13" t="s">
        <v>80</v>
      </c>
      <c r="E259" s="13" t="s">
        <v>68</v>
      </c>
      <c r="F259" s="13"/>
      <c r="G259" s="13"/>
      <c r="H259" s="14"/>
      <c r="I259" s="13"/>
      <c r="J259" s="13"/>
      <c r="K259" s="13" t="str">
        <f t="shared" si="11"/>
        <v>https://en.wikipedia.org/wiki/Leonia,_New_Jersey</v>
      </c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</row>
    <row r="260" spans="1:47" ht="16" customHeight="1" x14ac:dyDescent="0.2">
      <c r="A260" s="15" t="s">
        <v>854</v>
      </c>
      <c r="B260" s="15" t="s">
        <v>75</v>
      </c>
      <c r="C260" s="15" t="s">
        <v>855</v>
      </c>
      <c r="D260" s="15" t="s">
        <v>61</v>
      </c>
      <c r="E260" s="15" t="s">
        <v>68</v>
      </c>
      <c r="F260" s="15"/>
      <c r="G260" s="15"/>
      <c r="H260" s="16"/>
      <c r="I260" s="15"/>
      <c r="J260" s="15"/>
      <c r="K260" s="13" t="str">
        <f t="shared" si="11"/>
        <v>https://en.wikipedia.org/wiki/Liberty_Township,_New_Jersey</v>
      </c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</row>
    <row r="261" spans="1:47" ht="16" customHeight="1" x14ac:dyDescent="0.2">
      <c r="A261" s="13" t="s">
        <v>856</v>
      </c>
      <c r="B261" s="13" t="s">
        <v>236</v>
      </c>
      <c r="C261" s="13" t="s">
        <v>857</v>
      </c>
      <c r="D261" s="13" t="s">
        <v>80</v>
      </c>
      <c r="E261" s="13" t="s">
        <v>68</v>
      </c>
      <c r="F261" s="13"/>
      <c r="G261" s="13"/>
      <c r="H261" s="14"/>
      <c r="I261" s="13"/>
      <c r="J261" s="13"/>
      <c r="K261" s="13" t="str">
        <f t="shared" si="11"/>
        <v>https://en.wikipedia.org/wiki/Lincoln_Park,_New_Jersey</v>
      </c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</row>
    <row r="262" spans="1:47" ht="16" customHeight="1" x14ac:dyDescent="0.2">
      <c r="A262" s="15" t="s">
        <v>858</v>
      </c>
      <c r="B262" s="15" t="s">
        <v>197</v>
      </c>
      <c r="C262" s="15" t="s">
        <v>859</v>
      </c>
      <c r="D262" s="15" t="s">
        <v>67</v>
      </c>
      <c r="E262" s="15" t="s">
        <v>72</v>
      </c>
      <c r="F262" s="15">
        <v>166</v>
      </c>
      <c r="G262" s="15" t="s">
        <v>860</v>
      </c>
      <c r="H262" s="16">
        <v>44935</v>
      </c>
      <c r="I262" s="15" t="s">
        <v>860</v>
      </c>
      <c r="J262" s="15" t="s">
        <v>1960</v>
      </c>
      <c r="K262" s="13" t="str">
        <f t="shared" si="11"/>
        <v>https://en.wikipedia.org/wiki/Linden,_New_Jersey</v>
      </c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</row>
    <row r="263" spans="1:47" ht="16" customHeight="1" x14ac:dyDescent="0.2">
      <c r="A263" s="13" t="s">
        <v>861</v>
      </c>
      <c r="B263" s="13" t="s">
        <v>123</v>
      </c>
      <c r="C263" s="13" t="s">
        <v>862</v>
      </c>
      <c r="D263" s="13" t="s">
        <v>80</v>
      </c>
      <c r="E263" s="13" t="s">
        <v>68</v>
      </c>
      <c r="F263" s="13"/>
      <c r="G263" s="13"/>
      <c r="H263" s="14"/>
      <c r="I263" s="13"/>
      <c r="J263" s="13"/>
      <c r="K263" s="13" t="str">
        <f t="shared" si="11"/>
        <v>https://en.wikipedia.org/wiki/Lindenwold,_New_Jersey</v>
      </c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</row>
    <row r="264" spans="1:47" ht="16" customHeight="1" x14ac:dyDescent="0.2">
      <c r="A264" s="15" t="s">
        <v>863</v>
      </c>
      <c r="B264" s="15" t="s">
        <v>65</v>
      </c>
      <c r="C264" s="15" t="s">
        <v>864</v>
      </c>
      <c r="D264" s="15" t="s">
        <v>67</v>
      </c>
      <c r="E264" s="15" t="s">
        <v>72</v>
      </c>
      <c r="F264" s="15">
        <v>259</v>
      </c>
      <c r="G264" s="15" t="s">
        <v>865</v>
      </c>
      <c r="H264" s="16">
        <v>45660</v>
      </c>
      <c r="I264" s="15" t="s">
        <v>865</v>
      </c>
      <c r="J264" s="15" t="s">
        <v>866</v>
      </c>
      <c r="K264" s="13" t="str">
        <f t="shared" si="11"/>
        <v>https://en.wikipedia.org/wiki/Linwood,_New_Jersey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</row>
    <row r="265" spans="1:47" ht="16" customHeight="1" x14ac:dyDescent="0.2">
      <c r="A265" s="13" t="s">
        <v>867</v>
      </c>
      <c r="B265" s="13" t="s">
        <v>139</v>
      </c>
      <c r="C265" s="13" t="s">
        <v>868</v>
      </c>
      <c r="D265" s="13" t="s">
        <v>61</v>
      </c>
      <c r="E265" s="13" t="s">
        <v>68</v>
      </c>
      <c r="F265" s="13"/>
      <c r="G265" s="13"/>
      <c r="H265" s="14"/>
      <c r="I265" s="13"/>
      <c r="J265" s="13"/>
      <c r="K265" s="13" t="str">
        <f t="shared" si="11"/>
        <v>https://en.wikipedia.org/wiki/Little_Egg_Harbor_Township,_New_Jersey</v>
      </c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</row>
    <row r="266" spans="1:47" ht="16" customHeight="1" x14ac:dyDescent="0.2">
      <c r="A266" s="15" t="s">
        <v>869</v>
      </c>
      <c r="B266" s="15" t="s">
        <v>229</v>
      </c>
      <c r="C266" s="15" t="s">
        <v>870</v>
      </c>
      <c r="D266" s="15" t="s">
        <v>61</v>
      </c>
      <c r="E266" s="15" t="s">
        <v>72</v>
      </c>
      <c r="F266" s="15">
        <v>181</v>
      </c>
      <c r="G266" s="15" t="s">
        <v>871</v>
      </c>
      <c r="H266" s="16">
        <v>45347</v>
      </c>
      <c r="I266" s="15" t="s">
        <v>871</v>
      </c>
      <c r="J266" s="15" t="s">
        <v>1961</v>
      </c>
      <c r="K266" s="13" t="str">
        <f t="shared" si="11"/>
        <v>https://en.wikipedia.org/wiki/Little_Falls_Township,_New_Jersey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</row>
    <row r="267" spans="1:47" ht="16" customHeight="1" x14ac:dyDescent="0.2">
      <c r="A267" s="13" t="s">
        <v>872</v>
      </c>
      <c r="B267" s="13" t="s">
        <v>78</v>
      </c>
      <c r="C267" s="13" t="s">
        <v>873</v>
      </c>
      <c r="D267" s="13" t="s">
        <v>80</v>
      </c>
      <c r="E267" s="13" t="s">
        <v>68</v>
      </c>
      <c r="F267" s="13"/>
      <c r="G267" s="13"/>
      <c r="H267" s="14"/>
      <c r="I267" s="13"/>
      <c r="J267" s="13"/>
      <c r="K267" s="13" t="str">
        <f t="shared" si="11"/>
        <v>https://en.wikipedia.org/wiki/Little_Ferry,_New_Jersey</v>
      </c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</row>
    <row r="268" spans="1:47" ht="16" customHeight="1" x14ac:dyDescent="0.2">
      <c r="A268" s="15" t="s">
        <v>874</v>
      </c>
      <c r="B268" s="15" t="s">
        <v>59</v>
      </c>
      <c r="C268" s="15" t="s">
        <v>875</v>
      </c>
      <c r="D268" s="15" t="s">
        <v>80</v>
      </c>
      <c r="E268" s="15" t="s">
        <v>68</v>
      </c>
      <c r="F268" s="15"/>
      <c r="G268" s="15"/>
      <c r="H268" s="16"/>
      <c r="I268" s="15"/>
      <c r="J268" s="15"/>
      <c r="K268" s="13" t="str">
        <f t="shared" si="11"/>
        <v>https://en.wikipedia.org/wiki/Little_Silver,_New_Jersey</v>
      </c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</row>
    <row r="269" spans="1:47" ht="16" customHeight="1" x14ac:dyDescent="0.2">
      <c r="A269" s="13" t="s">
        <v>876</v>
      </c>
      <c r="B269" s="13" t="s">
        <v>178</v>
      </c>
      <c r="C269" s="13" t="s">
        <v>877</v>
      </c>
      <c r="D269" s="13" t="s">
        <v>61</v>
      </c>
      <c r="E269" s="13" t="s">
        <v>72</v>
      </c>
      <c r="F269" s="13">
        <v>228</v>
      </c>
      <c r="G269" s="13" t="s">
        <v>878</v>
      </c>
      <c r="H269" s="14">
        <v>45536</v>
      </c>
      <c r="I269" s="13" t="s">
        <v>1962</v>
      </c>
      <c r="J269" s="13" t="s">
        <v>1963</v>
      </c>
      <c r="K269" s="13" t="str">
        <f t="shared" si="11"/>
        <v>https://en.wikipedia.org/wiki/Livingston_Township,_New_Jersey</v>
      </c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</row>
    <row r="270" spans="1:47" ht="16" customHeight="1" x14ac:dyDescent="0.2">
      <c r="A270" s="15" t="s">
        <v>879</v>
      </c>
      <c r="B270" s="15" t="s">
        <v>59</v>
      </c>
      <c r="C270" s="15" t="s">
        <v>880</v>
      </c>
      <c r="D270" s="15" t="s">
        <v>881</v>
      </c>
      <c r="E270" s="15" t="s">
        <v>72</v>
      </c>
      <c r="F270" s="15">
        <v>208</v>
      </c>
      <c r="G270" s="15" t="s">
        <v>882</v>
      </c>
      <c r="H270" s="16">
        <v>45110</v>
      </c>
      <c r="I270" s="15" t="s">
        <v>1964</v>
      </c>
      <c r="J270" s="15" t="s">
        <v>1965</v>
      </c>
      <c r="K270" s="13" t="str">
        <f t="shared" si="11"/>
        <v>https://en.wikipedia.org/wiki/Loch_Arbour,_New_Jersey</v>
      </c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</row>
    <row r="271" spans="1:47" ht="16" customHeight="1" x14ac:dyDescent="0.2">
      <c r="A271" s="13" t="s">
        <v>883</v>
      </c>
      <c r="B271" s="13" t="s">
        <v>78</v>
      </c>
      <c r="C271" s="13" t="s">
        <v>884</v>
      </c>
      <c r="D271" s="13" t="s">
        <v>80</v>
      </c>
      <c r="E271" s="13" t="s">
        <v>62</v>
      </c>
      <c r="F271" s="13"/>
      <c r="G271" s="13" t="s">
        <v>885</v>
      </c>
      <c r="H271" s="68" t="s">
        <v>886</v>
      </c>
      <c r="I271" s="13"/>
      <c r="J271" s="13"/>
      <c r="K271" s="13" t="str">
        <f t="shared" si="11"/>
        <v>https://en.wikipedia.org/wiki/Lodi,_New_Jersey</v>
      </c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</row>
    <row r="272" spans="1:47" ht="16" customHeight="1" x14ac:dyDescent="0.2">
      <c r="A272" s="15" t="s">
        <v>887</v>
      </c>
      <c r="B272" s="15" t="s">
        <v>346</v>
      </c>
      <c r="C272" s="15" t="s">
        <v>888</v>
      </c>
      <c r="D272" s="15" t="s">
        <v>61</v>
      </c>
      <c r="E272" s="15" t="s">
        <v>72</v>
      </c>
      <c r="F272" s="15">
        <v>188</v>
      </c>
      <c r="G272" t="s">
        <v>889</v>
      </c>
      <c r="H272" s="16">
        <v>45396</v>
      </c>
      <c r="I272" s="15"/>
      <c r="J272" s="15"/>
      <c r="K272" s="13" t="str">
        <f t="shared" si="11"/>
        <v>https://en.wikipedia.org/wiki/Logan_Township,_New_Jersey</v>
      </c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</row>
    <row r="273" spans="1:47" ht="16" customHeight="1" x14ac:dyDescent="0.2">
      <c r="A273" s="13" t="s">
        <v>890</v>
      </c>
      <c r="B273" s="13" t="s">
        <v>139</v>
      </c>
      <c r="C273" s="13" t="s">
        <v>891</v>
      </c>
      <c r="D273" s="13" t="s">
        <v>61</v>
      </c>
      <c r="E273" s="13" t="s">
        <v>68</v>
      </c>
      <c r="F273" s="13"/>
      <c r="G273" s="13"/>
      <c r="H273" s="14"/>
      <c r="I273" s="13"/>
      <c r="J273" s="13"/>
      <c r="K273" s="13" t="str">
        <f t="shared" si="11"/>
        <v>https://en.wikipedia.org/wiki/Long_Beach_Township,_New_Jersey</v>
      </c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</row>
    <row r="274" spans="1:47" ht="16" customHeight="1" x14ac:dyDescent="0.2">
      <c r="A274" s="15" t="s">
        <v>892</v>
      </c>
      <c r="B274" s="15" t="s">
        <v>59</v>
      </c>
      <c r="C274" s="15" t="s">
        <v>893</v>
      </c>
      <c r="D274" s="15" t="s">
        <v>67</v>
      </c>
      <c r="E274" s="15" t="s">
        <v>62</v>
      </c>
      <c r="F274" s="15"/>
      <c r="G274" s="15" t="s">
        <v>894</v>
      </c>
      <c r="H274" s="16">
        <v>44373</v>
      </c>
      <c r="I274" s="15" t="s">
        <v>1966</v>
      </c>
      <c r="J274" s="15" t="s">
        <v>1967</v>
      </c>
      <c r="K274" s="13" t="str">
        <f t="shared" si="11"/>
        <v>https://en.wikipedia.org/wiki/Long_Branch,_New_Jersey</v>
      </c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</row>
    <row r="275" spans="1:47" ht="16" customHeight="1" x14ac:dyDescent="0.2">
      <c r="A275" s="13" t="s">
        <v>895</v>
      </c>
      <c r="B275" s="13" t="s">
        <v>236</v>
      </c>
      <c r="C275" s="13" t="s">
        <v>896</v>
      </c>
      <c r="D275" s="13" t="s">
        <v>61</v>
      </c>
      <c r="E275" s="13" t="s">
        <v>68</v>
      </c>
      <c r="F275" s="13"/>
      <c r="G275" s="13"/>
      <c r="H275" s="14"/>
      <c r="I275" s="13"/>
      <c r="J275" s="13"/>
      <c r="K275" s="13" t="str">
        <f t="shared" si="11"/>
        <v>https://en.wikipedia.org/wiki/Long_Hill_Township,_New_Jersey</v>
      </c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</row>
    <row r="276" spans="1:47" ht="16" customHeight="1" x14ac:dyDescent="0.2">
      <c r="A276" s="15" t="s">
        <v>897</v>
      </c>
      <c r="B276" s="15" t="s">
        <v>65</v>
      </c>
      <c r="C276" s="15" t="s">
        <v>898</v>
      </c>
      <c r="D276" s="15" t="s">
        <v>80</v>
      </c>
      <c r="E276" s="15" t="s">
        <v>72</v>
      </c>
      <c r="F276" s="15">
        <v>249</v>
      </c>
      <c r="G276" s="15" t="s">
        <v>899</v>
      </c>
      <c r="H276" s="16">
        <v>45619</v>
      </c>
      <c r="I276" s="15" t="s">
        <v>899</v>
      </c>
      <c r="J276" s="15" t="s">
        <v>900</v>
      </c>
      <c r="K276" s="13" t="str">
        <f t="shared" si="11"/>
        <v>https://en.wikipedia.org/wiki/Longport,_New_Jersey</v>
      </c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</row>
    <row r="277" spans="1:47" ht="16" customHeight="1" x14ac:dyDescent="0.2">
      <c r="A277" s="13" t="s">
        <v>901</v>
      </c>
      <c r="B277" s="13" t="s">
        <v>75</v>
      </c>
      <c r="C277" s="13" t="s">
        <v>902</v>
      </c>
      <c r="D277" s="13" t="s">
        <v>61</v>
      </c>
      <c r="E277" s="13" t="s">
        <v>72</v>
      </c>
      <c r="F277" s="13">
        <v>146</v>
      </c>
      <c r="G277" s="13" t="s">
        <v>903</v>
      </c>
      <c r="H277" s="14">
        <v>45255</v>
      </c>
      <c r="I277" s="13" t="s">
        <v>903</v>
      </c>
      <c r="J277" s="13" t="s">
        <v>1968</v>
      </c>
      <c r="K277" s="13" t="str">
        <f t="shared" si="11"/>
        <v>https://en.wikipedia.org/wiki/Lopatcong_Township,_New_Jersey</v>
      </c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</row>
    <row r="278" spans="1:47" ht="16" customHeight="1" x14ac:dyDescent="0.2">
      <c r="A278" s="15" t="s">
        <v>904</v>
      </c>
      <c r="B278" s="15" t="s">
        <v>130</v>
      </c>
      <c r="C278" s="15" t="s">
        <v>905</v>
      </c>
      <c r="D278" s="15" t="s">
        <v>61</v>
      </c>
      <c r="E278" s="15" t="s">
        <v>68</v>
      </c>
      <c r="F278" s="15"/>
      <c r="G278" s="15"/>
      <c r="H278" s="16"/>
      <c r="I278" s="15"/>
      <c r="J278" s="15"/>
      <c r="K278" s="13" t="str">
        <f t="shared" si="11"/>
        <v>https://en.wikipedia.org/wiki/Lower_Township,_New_Jersey</v>
      </c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</row>
    <row r="279" spans="1:47" ht="16" customHeight="1" x14ac:dyDescent="0.2">
      <c r="A279" s="13" t="s">
        <v>906</v>
      </c>
      <c r="B279" s="13" t="s">
        <v>96</v>
      </c>
      <c r="C279" s="13" t="s">
        <v>907</v>
      </c>
      <c r="D279" s="13" t="s">
        <v>61</v>
      </c>
      <c r="E279" s="13" t="s">
        <v>72</v>
      </c>
      <c r="F279" s="13">
        <v>267</v>
      </c>
      <c r="G279" s="66" t="s">
        <v>908</v>
      </c>
      <c r="H279" s="14">
        <v>45768</v>
      </c>
      <c r="I279" s="13"/>
      <c r="J279" s="13"/>
      <c r="K279" s="13" t="str">
        <f t="shared" si="11"/>
        <v>https://en.wikipedia.org/wiki/Lower_Alloways_Creek_Township,_New_Jersey</v>
      </c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</row>
    <row r="280" spans="1:47" ht="16" customHeight="1" x14ac:dyDescent="0.2">
      <c r="A280" s="15" t="s">
        <v>909</v>
      </c>
      <c r="B280" s="15" t="s">
        <v>150</v>
      </c>
      <c r="C280" s="15" t="s">
        <v>910</v>
      </c>
      <c r="D280" s="15" t="s">
        <v>61</v>
      </c>
      <c r="E280" s="15" t="s">
        <v>68</v>
      </c>
      <c r="F280" s="15"/>
      <c r="G280" s="15"/>
      <c r="H280" s="16"/>
      <c r="I280" s="15"/>
      <c r="J280" s="15"/>
      <c r="K280" s="13" t="str">
        <f t="shared" si="11"/>
        <v>https://en.wikipedia.org/wiki/Lumberton_Township,_New_Jersey</v>
      </c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</row>
    <row r="281" spans="1:47" ht="16" customHeight="1" x14ac:dyDescent="0.2">
      <c r="A281" s="13" t="s">
        <v>911</v>
      </c>
      <c r="B281" s="13" t="s">
        <v>78</v>
      </c>
      <c r="C281" s="13" t="s">
        <v>912</v>
      </c>
      <c r="D281" s="13" t="s">
        <v>61</v>
      </c>
      <c r="E281" s="13" t="s">
        <v>62</v>
      </c>
      <c r="F281" s="13"/>
      <c r="G281" s="13" t="s">
        <v>913</v>
      </c>
      <c r="H281" s="68" t="s">
        <v>914</v>
      </c>
      <c r="I281" s="13" t="s">
        <v>1998</v>
      </c>
      <c r="J281" s="13" t="s">
        <v>1999</v>
      </c>
      <c r="K281" s="13" t="str">
        <f t="shared" si="11"/>
        <v>https://en.wikipedia.org/wiki/Lyndhurst_Township,_New_Jersey</v>
      </c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</row>
    <row r="282" spans="1:47" ht="16" customHeight="1" x14ac:dyDescent="0.2">
      <c r="A282" s="15" t="s">
        <v>915</v>
      </c>
      <c r="B282" s="15" t="s">
        <v>236</v>
      </c>
      <c r="C282" s="15" t="s">
        <v>916</v>
      </c>
      <c r="D282" s="15" t="s">
        <v>80</v>
      </c>
      <c r="E282" s="15" t="s">
        <v>68</v>
      </c>
      <c r="F282" s="15"/>
      <c r="G282" s="15"/>
      <c r="H282" s="16"/>
      <c r="I282" s="15"/>
      <c r="J282" s="15"/>
      <c r="K282" s="13" t="str">
        <f t="shared" si="11"/>
        <v>https://en.wikipedia.org/wiki/Madison,_New_Jersey</v>
      </c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</row>
    <row r="283" spans="1:47" ht="16" customHeight="1" x14ac:dyDescent="0.2">
      <c r="A283" s="13" t="s">
        <v>917</v>
      </c>
      <c r="B283" s="13" t="s">
        <v>123</v>
      </c>
      <c r="C283" s="13" t="s">
        <v>918</v>
      </c>
      <c r="D283" s="13" t="s">
        <v>80</v>
      </c>
      <c r="E283" s="13" t="s">
        <v>68</v>
      </c>
      <c r="F283" s="13"/>
      <c r="G283" s="13"/>
      <c r="H283" s="14"/>
      <c r="I283" s="13"/>
      <c r="J283" s="13"/>
      <c r="K283" s="13" t="str">
        <f t="shared" si="11"/>
        <v>https://en.wikipedia.org/wiki/Magnolia,_New_Jersey</v>
      </c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</row>
    <row r="284" spans="1:47" ht="16" customHeight="1" x14ac:dyDescent="0.2">
      <c r="A284" s="15" t="s">
        <v>919</v>
      </c>
      <c r="B284" s="15" t="s">
        <v>78</v>
      </c>
      <c r="C284" s="15" t="s">
        <v>920</v>
      </c>
      <c r="D284" s="15" t="s">
        <v>61</v>
      </c>
      <c r="E284" s="15" t="s">
        <v>72</v>
      </c>
      <c r="F284" s="15">
        <v>213</v>
      </c>
      <c r="G284" s="15" t="s">
        <v>921</v>
      </c>
      <c r="H284" s="67" t="s">
        <v>922</v>
      </c>
      <c r="I284" s="15" t="s">
        <v>1969</v>
      </c>
      <c r="J284" s="15" t="s">
        <v>1970</v>
      </c>
      <c r="K284" s="13" t="str">
        <f t="shared" si="11"/>
        <v>https://en.wikipedia.org/wiki/Mahwah_Township,_New_Jersey</v>
      </c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</row>
    <row r="285" spans="1:47" ht="16" customHeight="1" x14ac:dyDescent="0.2">
      <c r="A285" s="13" t="s">
        <v>923</v>
      </c>
      <c r="B285" s="13" t="s">
        <v>59</v>
      </c>
      <c r="C285" s="13" t="s">
        <v>924</v>
      </c>
      <c r="D285" s="13" t="s">
        <v>61</v>
      </c>
      <c r="E285" s="13" t="s">
        <v>62</v>
      </c>
      <c r="F285" s="13"/>
      <c r="G285" s="13" t="s">
        <v>925</v>
      </c>
      <c r="H285" s="14">
        <v>44976</v>
      </c>
      <c r="I285" s="13" t="s">
        <v>1971</v>
      </c>
      <c r="J285" s="13" t="s">
        <v>1972</v>
      </c>
      <c r="K285" s="13" t="str">
        <f t="shared" si="11"/>
        <v>https://en.wikipedia.org/wiki/Manalapan_Township,_New_Jersey</v>
      </c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</row>
    <row r="286" spans="1:47" ht="16" customHeight="1" x14ac:dyDescent="0.2">
      <c r="A286" s="15" t="s">
        <v>926</v>
      </c>
      <c r="B286" s="15" t="s">
        <v>59</v>
      </c>
      <c r="C286" s="15" t="s">
        <v>927</v>
      </c>
      <c r="D286" s="15" t="s">
        <v>80</v>
      </c>
      <c r="E286" s="15" t="s">
        <v>62</v>
      </c>
      <c r="F286" s="15"/>
      <c r="G286" s="15" t="s">
        <v>928</v>
      </c>
      <c r="H286" s="16">
        <v>42595</v>
      </c>
      <c r="I286" s="15"/>
      <c r="J286" s="15"/>
      <c r="K286" s="13" t="str">
        <f t="shared" si="11"/>
        <v>https://en.wikipedia.org/wiki/Manasquan,_New_Jersey</v>
      </c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</row>
    <row r="287" spans="1:47" ht="16" customHeight="1" x14ac:dyDescent="0.2">
      <c r="A287" s="13" t="s">
        <v>929</v>
      </c>
      <c r="B287" s="13" t="s">
        <v>139</v>
      </c>
      <c r="C287" s="13" t="s">
        <v>930</v>
      </c>
      <c r="D287" s="13" t="s">
        <v>61</v>
      </c>
      <c r="E287" s="13" t="s">
        <v>68</v>
      </c>
      <c r="F287" s="13"/>
      <c r="G287" s="13"/>
      <c r="H287" s="14"/>
      <c r="I287" s="13"/>
      <c r="J287" s="13"/>
      <c r="K287" s="13" t="str">
        <f t="shared" si="11"/>
        <v>https://en.wikipedia.org/wiki/Manchester_Township,_New_Jersey</v>
      </c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</row>
    <row r="288" spans="1:47" ht="16" customHeight="1" x14ac:dyDescent="0.2">
      <c r="A288" s="15" t="s">
        <v>931</v>
      </c>
      <c r="B288" s="15" t="s">
        <v>96</v>
      </c>
      <c r="C288" s="15" t="s">
        <v>932</v>
      </c>
      <c r="D288" s="15" t="s">
        <v>61</v>
      </c>
      <c r="E288" s="15" t="s">
        <v>72</v>
      </c>
      <c r="F288" s="15">
        <v>266</v>
      </c>
      <c r="G288" t="s">
        <v>933</v>
      </c>
      <c r="H288" s="16">
        <v>45768</v>
      </c>
      <c r="I288" s="15"/>
      <c r="J288" s="15"/>
      <c r="K288" s="13" t="str">
        <f t="shared" si="11"/>
        <v>https://en.wikipedia.org/wiki/Mannington_Township,_New_Jersey</v>
      </c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</row>
    <row r="289" spans="1:47" ht="16" customHeight="1" x14ac:dyDescent="0.2">
      <c r="A289" s="13" t="s">
        <v>934</v>
      </c>
      <c r="B289" s="13" t="s">
        <v>150</v>
      </c>
      <c r="C289" s="13" t="s">
        <v>935</v>
      </c>
      <c r="D289" s="13" t="s">
        <v>61</v>
      </c>
      <c r="E289" s="13" t="s">
        <v>68</v>
      </c>
      <c r="F289" s="13"/>
      <c r="G289" s="13"/>
      <c r="H289" s="14"/>
      <c r="I289" s="13"/>
      <c r="J289" s="13"/>
      <c r="K289" s="13" t="s">
        <v>936</v>
      </c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</row>
    <row r="290" spans="1:47" ht="16" customHeight="1" x14ac:dyDescent="0.2">
      <c r="A290" s="15" t="s">
        <v>934</v>
      </c>
      <c r="B290" s="15" t="s">
        <v>75</v>
      </c>
      <c r="C290" s="15" t="s">
        <v>937</v>
      </c>
      <c r="D290" s="15" t="s">
        <v>61</v>
      </c>
      <c r="E290" s="15" t="s">
        <v>68</v>
      </c>
      <c r="F290" s="15"/>
      <c r="G290" s="15"/>
      <c r="H290" s="16"/>
      <c r="I290" s="15"/>
      <c r="J290" s="15"/>
      <c r="K290" s="13" t="s">
        <v>938</v>
      </c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</row>
    <row r="291" spans="1:47" ht="16" customHeight="1" x14ac:dyDescent="0.2">
      <c r="A291" s="13" t="s">
        <v>939</v>
      </c>
      <c r="B291" s="13" t="s">
        <v>139</v>
      </c>
      <c r="C291" s="13" t="s">
        <v>940</v>
      </c>
      <c r="D291" s="13" t="s">
        <v>80</v>
      </c>
      <c r="E291" s="13" t="s">
        <v>68</v>
      </c>
      <c r="F291" s="13"/>
      <c r="G291" s="13"/>
      <c r="H291" s="14"/>
      <c r="I291" s="13"/>
      <c r="J291" s="13"/>
      <c r="K291" s="13" t="str">
        <f t="shared" ref="K291:K312" si="12">IF(A291="","","https://en.wikipedia.org/wiki/"&amp;SUBSTITUTE(A291," ","_")&amp;IF(D291="township","_Township","")&amp;",_New_Jersey")</f>
        <v>https://en.wikipedia.org/wiki/Mantoloking,_New_Jersey</v>
      </c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</row>
    <row r="292" spans="1:47" ht="16" customHeight="1" x14ac:dyDescent="0.2">
      <c r="A292" s="15" t="s">
        <v>941</v>
      </c>
      <c r="B292" s="15" t="s">
        <v>346</v>
      </c>
      <c r="C292" s="15" t="s">
        <v>942</v>
      </c>
      <c r="D292" s="15" t="s">
        <v>61</v>
      </c>
      <c r="E292" s="15" t="s">
        <v>68</v>
      </c>
      <c r="F292" s="15"/>
      <c r="G292" s="15"/>
      <c r="H292" s="16"/>
      <c r="I292" s="15"/>
      <c r="J292" s="15"/>
      <c r="K292" s="13" t="str">
        <f t="shared" si="12"/>
        <v>https://en.wikipedia.org/wiki/Mantua_Township,_New_Jersey</v>
      </c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</row>
    <row r="293" spans="1:47" ht="16" customHeight="1" x14ac:dyDescent="0.2">
      <c r="A293" s="13" t="s">
        <v>943</v>
      </c>
      <c r="B293" s="13" t="s">
        <v>175</v>
      </c>
      <c r="C293" s="13" t="s">
        <v>944</v>
      </c>
      <c r="D293" s="13" t="s">
        <v>80</v>
      </c>
      <c r="E293" s="13" t="s">
        <v>68</v>
      </c>
      <c r="F293" s="13"/>
      <c r="G293" s="13"/>
      <c r="H293" s="14"/>
      <c r="I293" s="13"/>
      <c r="J293" s="13"/>
      <c r="K293" s="13" t="str">
        <f t="shared" si="12"/>
        <v>https://en.wikipedia.org/wiki/Manville,_New_Jersey</v>
      </c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</row>
    <row r="294" spans="1:47" ht="16" customHeight="1" x14ac:dyDescent="0.2">
      <c r="A294" s="15" t="s">
        <v>945</v>
      </c>
      <c r="B294" s="15" t="s">
        <v>150</v>
      </c>
      <c r="C294" s="15" t="s">
        <v>946</v>
      </c>
      <c r="D294" s="15" t="s">
        <v>61</v>
      </c>
      <c r="E294" s="15" t="s">
        <v>68</v>
      </c>
      <c r="F294" s="15"/>
      <c r="G294" s="15"/>
      <c r="H294" s="16"/>
      <c r="I294" s="15"/>
      <c r="J294" s="15"/>
      <c r="K294" s="13" t="str">
        <f t="shared" si="12"/>
        <v>https://en.wikipedia.org/wiki/Maple_Shade_Township,_New_Jersey</v>
      </c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</row>
    <row r="295" spans="1:47" ht="16" customHeight="1" x14ac:dyDescent="0.2">
      <c r="A295" s="13" t="s">
        <v>947</v>
      </c>
      <c r="B295" s="13" t="s">
        <v>178</v>
      </c>
      <c r="C295" s="13" t="s">
        <v>948</v>
      </c>
      <c r="D295" s="13" t="s">
        <v>61</v>
      </c>
      <c r="E295" s="13" t="s">
        <v>72</v>
      </c>
      <c r="F295" s="13">
        <v>175</v>
      </c>
      <c r="G295" s="13" t="s">
        <v>949</v>
      </c>
      <c r="H295" s="14">
        <v>45331</v>
      </c>
      <c r="I295" s="13" t="s">
        <v>949</v>
      </c>
      <c r="J295" s="13" t="s">
        <v>1973</v>
      </c>
      <c r="K295" s="13" t="str">
        <f t="shared" si="12"/>
        <v>https://en.wikipedia.org/wiki/Maplewood_Township,_New_Jersey</v>
      </c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</row>
    <row r="296" spans="1:47" ht="16" customHeight="1" x14ac:dyDescent="0.2">
      <c r="A296" s="15" t="s">
        <v>950</v>
      </c>
      <c r="B296" s="15" t="s">
        <v>65</v>
      </c>
      <c r="C296" s="15" t="s">
        <v>951</v>
      </c>
      <c r="D296" s="15" t="s">
        <v>67</v>
      </c>
      <c r="E296" s="15" t="s">
        <v>68</v>
      </c>
      <c r="F296" s="15"/>
      <c r="G296" s="15"/>
      <c r="H296" s="16"/>
      <c r="I296" s="15"/>
      <c r="J296" s="15"/>
      <c r="K296" s="13" t="str">
        <f t="shared" si="12"/>
        <v>https://en.wikipedia.org/wiki/Margate_City,_New_Jersey</v>
      </c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</row>
    <row r="297" spans="1:47" ht="16" customHeight="1" x14ac:dyDescent="0.2">
      <c r="A297" s="13" t="s">
        <v>952</v>
      </c>
      <c r="B297" s="13" t="s">
        <v>59</v>
      </c>
      <c r="C297" s="13" t="s">
        <v>953</v>
      </c>
      <c r="D297" s="13" t="s">
        <v>61</v>
      </c>
      <c r="E297" s="13" t="s">
        <v>62</v>
      </c>
      <c r="F297" s="13"/>
      <c r="G297" s="13" t="s">
        <v>954</v>
      </c>
      <c r="H297" s="14">
        <v>44953</v>
      </c>
      <c r="I297" s="13" t="s">
        <v>1974</v>
      </c>
      <c r="J297" s="13" t="s">
        <v>1975</v>
      </c>
      <c r="K297" s="13" t="str">
        <f t="shared" si="12"/>
        <v>https://en.wikipedia.org/wiki/Marlboro_Township,_New_Jersey</v>
      </c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</row>
    <row r="298" spans="1:47" ht="16" customHeight="1" x14ac:dyDescent="0.2">
      <c r="A298" s="15" t="s">
        <v>955</v>
      </c>
      <c r="B298" s="15" t="s">
        <v>59</v>
      </c>
      <c r="C298" s="15" t="s">
        <v>956</v>
      </c>
      <c r="D298" s="15" t="s">
        <v>80</v>
      </c>
      <c r="E298" s="15" t="s">
        <v>62</v>
      </c>
      <c r="F298" s="15"/>
      <c r="G298" s="15" t="s">
        <v>957</v>
      </c>
      <c r="H298" s="16">
        <v>45009</v>
      </c>
      <c r="I298" s="15" t="s">
        <v>1976</v>
      </c>
      <c r="J298" s="15" t="s">
        <v>1977</v>
      </c>
      <c r="K298" s="13" t="str">
        <f t="shared" si="12"/>
        <v>https://en.wikipedia.org/wiki/Matawan,_New_Jersey</v>
      </c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</row>
    <row r="299" spans="1:47" ht="16" customHeight="1" x14ac:dyDescent="0.2">
      <c r="A299" s="13" t="s">
        <v>958</v>
      </c>
      <c r="B299" s="13" t="s">
        <v>263</v>
      </c>
      <c r="C299" s="13" t="s">
        <v>959</v>
      </c>
      <c r="D299" s="13" t="s">
        <v>61</v>
      </c>
      <c r="E299" s="13" t="s">
        <v>72</v>
      </c>
      <c r="F299" s="13">
        <v>170</v>
      </c>
      <c r="G299" t="s">
        <v>960</v>
      </c>
      <c r="H299" s="14">
        <v>45318</v>
      </c>
      <c r="I299" s="13" t="s">
        <v>960</v>
      </c>
      <c r="J299" s="13" t="s">
        <v>1978</v>
      </c>
      <c r="K299" s="13" t="str">
        <f t="shared" si="12"/>
        <v>https://en.wikipedia.org/wiki/Maurice_River_Township,_New_Jersey</v>
      </c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</row>
    <row r="300" spans="1:47" ht="16" customHeight="1" x14ac:dyDescent="0.2">
      <c r="A300" s="15" t="s">
        <v>961</v>
      </c>
      <c r="B300" s="15" t="s">
        <v>78</v>
      </c>
      <c r="C300" s="15" t="s">
        <v>962</v>
      </c>
      <c r="D300" s="15" t="s">
        <v>80</v>
      </c>
      <c r="E300" s="15" t="s">
        <v>62</v>
      </c>
      <c r="F300" s="15"/>
      <c r="G300" s="15" t="s">
        <v>963</v>
      </c>
      <c r="H300" s="67" t="s">
        <v>964</v>
      </c>
      <c r="I300" s="15" t="s">
        <v>963</v>
      </c>
      <c r="J300" s="15" t="s">
        <v>2000</v>
      </c>
      <c r="K300" s="13" t="str">
        <f t="shared" si="12"/>
        <v>https://en.wikipedia.org/wiki/Maywood,_New_Jersey</v>
      </c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</row>
    <row r="301" spans="1:47" ht="16" customHeight="1" x14ac:dyDescent="0.2">
      <c r="A301" s="13" t="s">
        <v>965</v>
      </c>
      <c r="B301" s="13" t="s">
        <v>150</v>
      </c>
      <c r="C301" s="13" t="s">
        <v>966</v>
      </c>
      <c r="D301" s="13" t="s">
        <v>61</v>
      </c>
      <c r="E301" s="13" t="s">
        <v>68</v>
      </c>
      <c r="F301" s="13"/>
      <c r="G301" s="13"/>
      <c r="H301" s="14"/>
      <c r="I301" s="13"/>
      <c r="J301" s="13"/>
      <c r="K301" s="13" t="str">
        <f t="shared" si="12"/>
        <v>https://en.wikipedia.org/wiki/Medford_Township,_New_Jersey</v>
      </c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</row>
    <row r="302" spans="1:47" ht="16" customHeight="1" x14ac:dyDescent="0.2">
      <c r="A302" s="15" t="s">
        <v>967</v>
      </c>
      <c r="B302" s="15" t="s">
        <v>150</v>
      </c>
      <c r="C302" s="15" t="s">
        <v>968</v>
      </c>
      <c r="D302" s="15" t="s">
        <v>80</v>
      </c>
      <c r="E302" s="15" t="s">
        <v>68</v>
      </c>
      <c r="F302" s="15"/>
      <c r="G302" s="15"/>
      <c r="H302" s="16"/>
      <c r="I302" s="15"/>
      <c r="J302" s="15"/>
      <c r="K302" s="13" t="str">
        <f t="shared" si="12"/>
        <v>https://en.wikipedia.org/wiki/Medford_Lakes,_New_Jersey</v>
      </c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</row>
    <row r="303" spans="1:47" ht="16" customHeight="1" x14ac:dyDescent="0.2">
      <c r="A303" s="13" t="s">
        <v>969</v>
      </c>
      <c r="B303" s="13" t="s">
        <v>236</v>
      </c>
      <c r="C303" s="13" t="s">
        <v>970</v>
      </c>
      <c r="D303" s="13" t="s">
        <v>80</v>
      </c>
      <c r="E303" s="13" t="s">
        <v>68</v>
      </c>
      <c r="F303" s="13"/>
      <c r="G303" s="13"/>
      <c r="H303" s="14"/>
      <c r="I303" s="13"/>
      <c r="J303" s="13"/>
      <c r="K303" s="13" t="str">
        <f t="shared" si="12"/>
        <v>https://en.wikipedia.org/wiki/Mendham,_New_Jersey</v>
      </c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</row>
    <row r="304" spans="1:47" ht="16" customHeight="1" x14ac:dyDescent="0.2">
      <c r="A304" s="15" t="s">
        <v>969</v>
      </c>
      <c r="B304" s="15" t="s">
        <v>236</v>
      </c>
      <c r="C304" s="15" t="s">
        <v>971</v>
      </c>
      <c r="D304" s="15" t="s">
        <v>61</v>
      </c>
      <c r="E304" s="15" t="s">
        <v>68</v>
      </c>
      <c r="F304" s="15"/>
      <c r="G304" s="15"/>
      <c r="H304" s="16"/>
      <c r="I304" s="15"/>
      <c r="J304" s="15"/>
      <c r="K304" s="13" t="str">
        <f t="shared" si="12"/>
        <v>https://en.wikipedia.org/wiki/Mendham_Township,_New_Jersey</v>
      </c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</row>
    <row r="305" spans="1:47" ht="16" customHeight="1" x14ac:dyDescent="0.2">
      <c r="A305" s="13" t="s">
        <v>972</v>
      </c>
      <c r="B305" s="13" t="s">
        <v>123</v>
      </c>
      <c r="C305" s="13" t="s">
        <v>973</v>
      </c>
      <c r="D305" s="13" t="s">
        <v>80</v>
      </c>
      <c r="E305" s="13" t="s">
        <v>72</v>
      </c>
      <c r="F305" s="13">
        <v>284</v>
      </c>
      <c r="G305" s="13" t="s">
        <v>974</v>
      </c>
      <c r="H305" s="68" t="s">
        <v>975</v>
      </c>
      <c r="I305" s="13" t="s">
        <v>974</v>
      </c>
      <c r="J305" s="13" t="s">
        <v>1979</v>
      </c>
      <c r="K305" s="13" t="str">
        <f t="shared" si="12"/>
        <v>https://en.wikipedia.org/wiki/Merchantville,_New_Jersey</v>
      </c>
      <c r="L305" s="13" t="s">
        <v>976</v>
      </c>
      <c r="M305" s="13" t="s">
        <v>977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 t="s">
        <v>978</v>
      </c>
      <c r="AM305" s="13" t="s">
        <v>977</v>
      </c>
      <c r="AN305" s="13"/>
      <c r="AO305" s="13"/>
      <c r="AP305" s="13"/>
      <c r="AQ305" s="13"/>
      <c r="AR305" s="13"/>
      <c r="AS305" s="13"/>
      <c r="AT305" s="13"/>
      <c r="AU305" s="13"/>
    </row>
    <row r="306" spans="1:47" ht="16" customHeight="1" x14ac:dyDescent="0.2">
      <c r="A306" s="15" t="s">
        <v>979</v>
      </c>
      <c r="B306" s="15" t="s">
        <v>314</v>
      </c>
      <c r="C306" s="15" t="s">
        <v>980</v>
      </c>
      <c r="D306" s="15" t="s">
        <v>80</v>
      </c>
      <c r="E306" s="15" t="s">
        <v>62</v>
      </c>
      <c r="F306" s="15"/>
      <c r="G306" s="15" t="s">
        <v>981</v>
      </c>
      <c r="H306" s="16">
        <v>44359</v>
      </c>
      <c r="I306" s="15" t="s">
        <v>1980</v>
      </c>
      <c r="J306" s="15" t="s">
        <v>1981</v>
      </c>
      <c r="K306" s="13" t="str">
        <f t="shared" si="12"/>
        <v>https://en.wikipedia.org/wiki/Metuchen,_New_Jersey</v>
      </c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</row>
    <row r="307" spans="1:47" ht="16" customHeight="1" x14ac:dyDescent="0.2">
      <c r="A307" s="13" t="s">
        <v>982</v>
      </c>
      <c r="B307" s="13" t="s">
        <v>130</v>
      </c>
      <c r="C307" s="13" t="s">
        <v>983</v>
      </c>
      <c r="D307" s="13" t="s">
        <v>61</v>
      </c>
      <c r="E307" s="13" t="s">
        <v>72</v>
      </c>
      <c r="F307" s="13"/>
      <c r="G307" s="13" t="s">
        <v>984</v>
      </c>
      <c r="H307" s="14">
        <v>45619</v>
      </c>
      <c r="I307" s="13" t="s">
        <v>984</v>
      </c>
      <c r="J307" s="13" t="s">
        <v>985</v>
      </c>
      <c r="K307" s="13" t="str">
        <f t="shared" si="12"/>
        <v>https://en.wikipedia.org/wiki/Middle_Township,_New_Jersey</v>
      </c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</row>
    <row r="308" spans="1:47" ht="16" customHeight="1" x14ac:dyDescent="0.2">
      <c r="A308" s="15" t="s">
        <v>314</v>
      </c>
      <c r="B308" s="15" t="s">
        <v>314</v>
      </c>
      <c r="C308" s="15" t="s">
        <v>986</v>
      </c>
      <c r="D308" s="15" t="s">
        <v>80</v>
      </c>
      <c r="E308" s="15" t="s">
        <v>72</v>
      </c>
      <c r="F308" s="15">
        <v>217</v>
      </c>
      <c r="G308" s="15" t="s">
        <v>987</v>
      </c>
      <c r="H308" s="16">
        <v>45514</v>
      </c>
      <c r="I308" s="15" t="s">
        <v>2001</v>
      </c>
      <c r="J308" s="15" t="s">
        <v>2002</v>
      </c>
      <c r="K308" s="13" t="str">
        <f t="shared" si="12"/>
        <v>https://en.wikipedia.org/wiki/Middlesex,_New_Jersey</v>
      </c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</row>
    <row r="309" spans="1:47" ht="16" customHeight="1" x14ac:dyDescent="0.2">
      <c r="A309" s="13" t="s">
        <v>988</v>
      </c>
      <c r="B309" s="13" t="s">
        <v>59</v>
      </c>
      <c r="C309" s="13" t="s">
        <v>989</v>
      </c>
      <c r="D309" s="13" t="s">
        <v>61</v>
      </c>
      <c r="E309" s="13" t="s">
        <v>62</v>
      </c>
      <c r="F309" s="13"/>
      <c r="G309" s="13" t="s">
        <v>990</v>
      </c>
      <c r="H309" s="14">
        <v>43511</v>
      </c>
      <c r="I309" s="13" t="s">
        <v>990</v>
      </c>
      <c r="J309" s="13" t="s">
        <v>1982</v>
      </c>
      <c r="K309" s="13" t="str">
        <f t="shared" si="12"/>
        <v>https://en.wikipedia.org/wiki/Middletown_Township,_New_Jersey</v>
      </c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</row>
    <row r="310" spans="1:47" ht="16" customHeight="1" x14ac:dyDescent="0.2">
      <c r="A310" s="15" t="s">
        <v>991</v>
      </c>
      <c r="B310" s="15" t="s">
        <v>78</v>
      </c>
      <c r="C310" s="15" t="s">
        <v>992</v>
      </c>
      <c r="D310" s="15" t="s">
        <v>80</v>
      </c>
      <c r="E310" s="15" t="s">
        <v>68</v>
      </c>
      <c r="F310" s="15"/>
      <c r="G310" s="15"/>
      <c r="H310" s="16"/>
      <c r="I310" s="15"/>
      <c r="J310" s="15"/>
      <c r="K310" s="13" t="str">
        <f t="shared" si="12"/>
        <v>https://en.wikipedia.org/wiki/Midland_Park,_New_Jersey</v>
      </c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</row>
    <row r="311" spans="1:47" ht="16" customHeight="1" x14ac:dyDescent="0.2">
      <c r="A311" s="13" t="s">
        <v>993</v>
      </c>
      <c r="B311" s="13" t="s">
        <v>70</v>
      </c>
      <c r="C311" s="13" t="s">
        <v>994</v>
      </c>
      <c r="D311" s="13" t="s">
        <v>80</v>
      </c>
      <c r="E311" s="13" t="s">
        <v>68</v>
      </c>
      <c r="F311" s="13"/>
      <c r="G311" s="13"/>
      <c r="H311" s="14"/>
      <c r="I311" s="13"/>
      <c r="J311" s="13"/>
      <c r="K311" s="13" t="str">
        <f t="shared" si="12"/>
        <v>https://en.wikipedia.org/wiki/Milford,_New_Jersey</v>
      </c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</row>
    <row r="312" spans="1:47" ht="16" customHeight="1" x14ac:dyDescent="0.2">
      <c r="A312" s="15" t="s">
        <v>995</v>
      </c>
      <c r="B312" s="15" t="s">
        <v>178</v>
      </c>
      <c r="C312" s="15" t="s">
        <v>996</v>
      </c>
      <c r="D312" s="15" t="s">
        <v>61</v>
      </c>
      <c r="E312" s="15" t="s">
        <v>62</v>
      </c>
      <c r="F312" s="15"/>
      <c r="G312" s="15" t="s">
        <v>997</v>
      </c>
      <c r="H312" s="16">
        <v>44734</v>
      </c>
      <c r="I312" s="15"/>
      <c r="J312" s="15"/>
      <c r="K312" s="13" t="str">
        <f t="shared" si="12"/>
        <v>https://en.wikipedia.org/wiki/Millburn_Township,_New_Jersey</v>
      </c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</row>
    <row r="313" spans="1:47" ht="16" customHeight="1" x14ac:dyDescent="0.2">
      <c r="A313" s="13" t="s">
        <v>998</v>
      </c>
      <c r="B313" s="13" t="s">
        <v>59</v>
      </c>
      <c r="C313" s="13" t="s">
        <v>999</v>
      </c>
      <c r="D313" s="13" t="s">
        <v>61</v>
      </c>
      <c r="E313" s="13" t="s">
        <v>62</v>
      </c>
      <c r="F313" s="13"/>
      <c r="G313" s="13" t="s">
        <v>1000</v>
      </c>
      <c r="H313" s="14">
        <v>42931</v>
      </c>
      <c r="I313" s="13"/>
      <c r="J313" s="13"/>
      <c r="K313" s="13" t="s">
        <v>1001</v>
      </c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</row>
    <row r="314" spans="1:47" ht="16" customHeight="1" x14ac:dyDescent="0.2">
      <c r="A314" s="15" t="s">
        <v>998</v>
      </c>
      <c r="B314" s="15" t="s">
        <v>175</v>
      </c>
      <c r="C314" s="15" t="s">
        <v>1002</v>
      </c>
      <c r="D314" s="15" t="s">
        <v>80</v>
      </c>
      <c r="E314" s="15" t="s">
        <v>68</v>
      </c>
      <c r="F314" s="15"/>
      <c r="G314" s="15"/>
      <c r="H314" s="16"/>
      <c r="I314" s="15"/>
      <c r="J314" s="15"/>
      <c r="K314" s="13" t="s">
        <v>1003</v>
      </c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</row>
    <row r="315" spans="1:47" ht="16" customHeight="1" x14ac:dyDescent="0.2">
      <c r="A315" s="13" t="s">
        <v>1004</v>
      </c>
      <c r="B315" s="13" t="s">
        <v>314</v>
      </c>
      <c r="C315" s="13" t="s">
        <v>1005</v>
      </c>
      <c r="D315" s="13" t="s">
        <v>80</v>
      </c>
      <c r="E315" s="13" t="s">
        <v>62</v>
      </c>
      <c r="F315" s="13"/>
      <c r="G315" s="13" t="s">
        <v>1006</v>
      </c>
      <c r="H315" s="14">
        <v>43461</v>
      </c>
      <c r="I315" s="13" t="s">
        <v>2003</v>
      </c>
      <c r="J315" s="13" t="s">
        <v>2004</v>
      </c>
      <c r="K315" s="13" t="str">
        <f>IF(A315="","","https://en.wikipedia.org/wiki/"&amp;SUBSTITUTE(A315," ","_")&amp;IF(D315="township","_Township","")&amp;",_New_Jersey")</f>
        <v>https://en.wikipedia.org/wiki/Milltown,_New_Jersey</v>
      </c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</row>
    <row r="316" spans="1:47" ht="16" customHeight="1" x14ac:dyDescent="0.2">
      <c r="A316" s="15" t="s">
        <v>1007</v>
      </c>
      <c r="B316" s="15" t="s">
        <v>263</v>
      </c>
      <c r="C316" s="15" t="s">
        <v>1008</v>
      </c>
      <c r="D316" s="15" t="s">
        <v>67</v>
      </c>
      <c r="E316" s="15" t="s">
        <v>72</v>
      </c>
      <c r="F316" s="15">
        <v>172</v>
      </c>
      <c r="G316" t="s">
        <v>1009</v>
      </c>
      <c r="H316" s="16">
        <v>45318</v>
      </c>
      <c r="I316" s="15" t="s">
        <v>1009</v>
      </c>
      <c r="J316" s="15" t="s">
        <v>1983</v>
      </c>
      <c r="K316" s="13" t="str">
        <f>IF(A316="","","https://en.wikipedia.org/wiki/"&amp;SUBSTITUTE(A316," ","_")&amp;IF(D316="township","_Township","")&amp;",_New_Jersey")</f>
        <v>https://en.wikipedia.org/wiki/Millville,_New_Jersey</v>
      </c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</row>
    <row r="317" spans="1:47" ht="16" customHeight="1" x14ac:dyDescent="0.2">
      <c r="A317" s="13" t="s">
        <v>1010</v>
      </c>
      <c r="B317" s="13" t="s">
        <v>236</v>
      </c>
      <c r="C317" s="13" t="s">
        <v>1011</v>
      </c>
      <c r="D317" s="13" t="s">
        <v>61</v>
      </c>
      <c r="E317" s="13" t="s">
        <v>68</v>
      </c>
      <c r="F317" s="13"/>
      <c r="G317" s="13"/>
      <c r="H317" s="14"/>
      <c r="I317" s="13"/>
      <c r="J317" s="13"/>
      <c r="K317" s="13" t="str">
        <f>IF(A317="","","https://en.wikipedia.org/wiki/"&amp;SUBSTITUTE(A317," ","_")&amp;IF(D317="township","_Township","")&amp;",_New_Jersey")</f>
        <v>https://en.wikipedia.org/wiki/Mine_Hill_Township,_New_Jersey</v>
      </c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</row>
    <row r="318" spans="1:47" ht="16" customHeight="1" x14ac:dyDescent="0.2">
      <c r="A318" s="15" t="s">
        <v>1012</v>
      </c>
      <c r="B318" s="15" t="s">
        <v>59</v>
      </c>
      <c r="C318" s="15" t="s">
        <v>1013</v>
      </c>
      <c r="D318" s="15" t="s">
        <v>80</v>
      </c>
      <c r="E318" s="15" t="s">
        <v>62</v>
      </c>
      <c r="F318" s="15"/>
      <c r="G318" s="15" t="s">
        <v>1014</v>
      </c>
      <c r="H318" s="16">
        <v>42182</v>
      </c>
      <c r="I318" s="15"/>
      <c r="J318" s="15"/>
      <c r="K318" s="13" t="str">
        <f>IF(A318="","","https://en.wikipedia.org/wiki/"&amp;SUBSTITUTE(A318," ","_")&amp;IF(D318="township","_Township","")&amp;",_New_Jersey")</f>
        <v>https://en.wikipedia.org/wiki/Monmouth_Beach,_New_Jersey</v>
      </c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</row>
    <row r="319" spans="1:47" ht="16" customHeight="1" x14ac:dyDescent="0.2">
      <c r="A319" s="13" t="s">
        <v>1015</v>
      </c>
      <c r="B319" s="13" t="s">
        <v>346</v>
      </c>
      <c r="C319" s="13" t="s">
        <v>1016</v>
      </c>
      <c r="D319" s="13" t="s">
        <v>61</v>
      </c>
      <c r="E319" s="13" t="s">
        <v>68</v>
      </c>
      <c r="F319" s="13"/>
      <c r="G319" s="13"/>
      <c r="H319" s="14"/>
      <c r="I319" s="13"/>
      <c r="J319" s="13"/>
      <c r="K319" s="13" t="s">
        <v>1017</v>
      </c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</row>
    <row r="320" spans="1:47" ht="16" customHeight="1" x14ac:dyDescent="0.2">
      <c r="A320" s="15" t="s">
        <v>1015</v>
      </c>
      <c r="B320" s="15" t="s">
        <v>314</v>
      </c>
      <c r="C320" s="15" t="s">
        <v>1018</v>
      </c>
      <c r="D320" s="15" t="s">
        <v>61</v>
      </c>
      <c r="E320" s="15" t="s">
        <v>62</v>
      </c>
      <c r="F320" s="15"/>
      <c r="G320" s="15" t="s">
        <v>1019</v>
      </c>
      <c r="H320" s="16">
        <v>42469</v>
      </c>
      <c r="I320" s="15"/>
      <c r="J320" s="15"/>
      <c r="K320" s="13" t="s">
        <v>1020</v>
      </c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</row>
    <row r="321" spans="1:47" ht="16" customHeight="1" x14ac:dyDescent="0.2">
      <c r="A321" s="13" t="s">
        <v>1021</v>
      </c>
      <c r="B321" s="13" t="s">
        <v>106</v>
      </c>
      <c r="C321" s="13" t="s">
        <v>1022</v>
      </c>
      <c r="D321" s="13" t="s">
        <v>61</v>
      </c>
      <c r="E321" s="13" t="s">
        <v>72</v>
      </c>
      <c r="F321" s="13">
        <v>161</v>
      </c>
      <c r="G321" s="13" t="s">
        <v>1023</v>
      </c>
      <c r="H321" s="14">
        <v>45289</v>
      </c>
      <c r="I321" s="13"/>
      <c r="J321" s="13"/>
      <c r="K321" s="13" t="str">
        <f t="shared" ref="K321:K363" si="13">IF(A321="","","https://en.wikipedia.org/wiki/"&amp;SUBSTITUTE(A321," ","_")&amp;IF(D321="township","_Township","")&amp;",_New_Jersey")</f>
        <v>https://en.wikipedia.org/wiki/Montague_Township,_New_Jersey</v>
      </c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</row>
    <row r="322" spans="1:47" ht="16" customHeight="1" x14ac:dyDescent="0.2">
      <c r="A322" s="15" t="s">
        <v>1024</v>
      </c>
      <c r="B322" s="15" t="s">
        <v>178</v>
      </c>
      <c r="C322" s="15" t="s">
        <v>1025</v>
      </c>
      <c r="D322" s="15" t="s">
        <v>61</v>
      </c>
      <c r="E322" s="15" t="s">
        <v>62</v>
      </c>
      <c r="F322" s="15"/>
      <c r="G322" s="15" t="s">
        <v>1026</v>
      </c>
      <c r="H322" s="16">
        <v>42547</v>
      </c>
      <c r="I322" s="15" t="s">
        <v>1026</v>
      </c>
      <c r="J322" s="15" t="s">
        <v>1984</v>
      </c>
      <c r="K322" s="13" t="str">
        <f t="shared" si="13"/>
        <v>https://en.wikipedia.org/wiki/Montclair_Township,_New_Jersey</v>
      </c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</row>
    <row r="323" spans="1:47" ht="16" customHeight="1" x14ac:dyDescent="0.2">
      <c r="A323" s="13" t="s">
        <v>1027</v>
      </c>
      <c r="B323" s="13" t="s">
        <v>175</v>
      </c>
      <c r="C323" s="13" t="s">
        <v>1028</v>
      </c>
      <c r="D323" s="13" t="s">
        <v>61</v>
      </c>
      <c r="E323" s="13" t="s">
        <v>72</v>
      </c>
      <c r="F323" s="13">
        <v>191</v>
      </c>
      <c r="G323" s="13" t="s">
        <v>1029</v>
      </c>
      <c r="H323" s="14">
        <v>45409</v>
      </c>
      <c r="I323" s="13" t="s">
        <v>1029</v>
      </c>
      <c r="J323" s="13" t="s">
        <v>1985</v>
      </c>
      <c r="K323" s="13" t="str">
        <f t="shared" si="13"/>
        <v>https://en.wikipedia.org/wiki/Montgomery_Township,_New_Jersey</v>
      </c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</row>
    <row r="324" spans="1:47" ht="16" customHeight="1" x14ac:dyDescent="0.2">
      <c r="A324" s="15" t="s">
        <v>1030</v>
      </c>
      <c r="B324" s="15" t="s">
        <v>78</v>
      </c>
      <c r="C324" s="15" t="s">
        <v>1031</v>
      </c>
      <c r="D324" s="15" t="s">
        <v>80</v>
      </c>
      <c r="E324" s="15" t="s">
        <v>72</v>
      </c>
      <c r="F324" s="15">
        <v>291</v>
      </c>
      <c r="G324" s="15" t="s">
        <v>2135</v>
      </c>
      <c r="H324" s="16">
        <v>46251</v>
      </c>
      <c r="I324" s="15" t="s">
        <v>2135</v>
      </c>
      <c r="J324" s="15" t="s">
        <v>2134</v>
      </c>
      <c r="K324" s="13" t="str">
        <f t="shared" si="13"/>
        <v>https://en.wikipedia.org/wiki/Montvale,_New_Jersey</v>
      </c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</row>
    <row r="325" spans="1:47" ht="16" customHeight="1" x14ac:dyDescent="0.2">
      <c r="A325" s="13" t="s">
        <v>1032</v>
      </c>
      <c r="B325" s="13" t="s">
        <v>236</v>
      </c>
      <c r="C325" s="13" t="s">
        <v>1033</v>
      </c>
      <c r="D325" s="13" t="s">
        <v>61</v>
      </c>
      <c r="E325" s="13" t="s">
        <v>72</v>
      </c>
      <c r="F325" s="13">
        <v>285</v>
      </c>
      <c r="G325" s="13" t="s">
        <v>1034</v>
      </c>
      <c r="H325" s="14">
        <v>46109</v>
      </c>
      <c r="I325" s="13" t="s">
        <v>1034</v>
      </c>
      <c r="J325" s="13" t="s">
        <v>1986</v>
      </c>
      <c r="K325" s="13" t="str">
        <f t="shared" si="13"/>
        <v>https://en.wikipedia.org/wiki/Montville_Township,_New_Jersey</v>
      </c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</row>
    <row r="326" spans="1:47" ht="16" customHeight="1" x14ac:dyDescent="0.2">
      <c r="A326" s="15" t="s">
        <v>1035</v>
      </c>
      <c r="B326" s="15" t="s">
        <v>78</v>
      </c>
      <c r="C326" s="15" t="s">
        <v>1036</v>
      </c>
      <c r="D326" s="15" t="s">
        <v>80</v>
      </c>
      <c r="E326" s="15" t="s">
        <v>72</v>
      </c>
      <c r="F326" s="15">
        <v>177</v>
      </c>
      <c r="G326" s="15" t="s">
        <v>1037</v>
      </c>
      <c r="H326" s="67" t="s">
        <v>1038</v>
      </c>
      <c r="I326" s="15" t="s">
        <v>1037</v>
      </c>
      <c r="J326" s="15" t="s">
        <v>1987</v>
      </c>
      <c r="K326" s="13" t="str">
        <f t="shared" si="13"/>
        <v>https://en.wikipedia.org/wiki/Moonachie,_New_Jersey</v>
      </c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</row>
    <row r="327" spans="1:47" ht="16" customHeight="1" x14ac:dyDescent="0.2">
      <c r="A327" s="13" t="s">
        <v>1039</v>
      </c>
      <c r="B327" s="13" t="s">
        <v>150</v>
      </c>
      <c r="C327" s="13" t="s">
        <v>1040</v>
      </c>
      <c r="D327" s="13" t="s">
        <v>61</v>
      </c>
      <c r="E327" s="13" t="s">
        <v>62</v>
      </c>
      <c r="F327" s="13"/>
      <c r="G327" t="s">
        <v>1041</v>
      </c>
      <c r="H327" s="14">
        <v>44592</v>
      </c>
      <c r="I327" s="13" t="s">
        <v>1041</v>
      </c>
      <c r="J327" s="13" t="s">
        <v>1988</v>
      </c>
      <c r="K327" s="13" t="str">
        <f t="shared" si="13"/>
        <v>https://en.wikipedia.org/wiki/Moorestown_Township,_New_Jersey</v>
      </c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</row>
    <row r="328" spans="1:47" ht="16" customHeight="1" x14ac:dyDescent="0.2">
      <c r="A328" s="15" t="s">
        <v>236</v>
      </c>
      <c r="B328" s="15" t="s">
        <v>236</v>
      </c>
      <c r="C328" s="15" t="s">
        <v>1042</v>
      </c>
      <c r="D328" s="15" t="s">
        <v>61</v>
      </c>
      <c r="E328" s="15" t="s">
        <v>62</v>
      </c>
      <c r="F328" s="15"/>
      <c r="G328" s="70" t="s">
        <v>1043</v>
      </c>
      <c r="H328" s="16">
        <v>43365</v>
      </c>
      <c r="I328" s="15"/>
      <c r="J328" s="15"/>
      <c r="K328" s="13" t="str">
        <f t="shared" si="13"/>
        <v>https://en.wikipedia.org/wiki/Morris_Township,_New_Jersey</v>
      </c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</row>
    <row r="329" spans="1:47" ht="16" customHeight="1" x14ac:dyDescent="0.2">
      <c r="A329" s="13" t="s">
        <v>1044</v>
      </c>
      <c r="B329" s="13" t="s">
        <v>236</v>
      </c>
      <c r="C329" s="13" t="s">
        <v>1045</v>
      </c>
      <c r="D329" s="13" t="s">
        <v>80</v>
      </c>
      <c r="E329" s="13" t="s">
        <v>68</v>
      </c>
      <c r="F329" s="13"/>
      <c r="G329" s="13"/>
      <c r="H329" s="14"/>
      <c r="I329" s="13"/>
      <c r="J329" s="13"/>
      <c r="K329" s="13" t="str">
        <f t="shared" si="13"/>
        <v>https://en.wikipedia.org/wiki/Morris_Plains,_New_Jersey</v>
      </c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</row>
    <row r="330" spans="1:47" ht="16" customHeight="1" x14ac:dyDescent="0.2">
      <c r="A330" s="15" t="s">
        <v>1046</v>
      </c>
      <c r="B330" s="15" t="s">
        <v>236</v>
      </c>
      <c r="C330" s="15" t="s">
        <v>1047</v>
      </c>
      <c r="D330" s="15" t="s">
        <v>189</v>
      </c>
      <c r="E330" s="15" t="s">
        <v>68</v>
      </c>
      <c r="F330" s="15"/>
      <c r="G330" s="15"/>
      <c r="H330" s="16"/>
      <c r="I330" s="15"/>
      <c r="J330" s="15"/>
      <c r="K330" s="13" t="str">
        <f t="shared" si="13"/>
        <v>https://en.wikipedia.org/wiki/Morristown,_New_Jersey</v>
      </c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</row>
    <row r="331" spans="1:47" ht="16" customHeight="1" x14ac:dyDescent="0.2">
      <c r="A331" s="13" t="s">
        <v>1048</v>
      </c>
      <c r="B331" s="13" t="s">
        <v>236</v>
      </c>
      <c r="C331" s="13" t="s">
        <v>1049</v>
      </c>
      <c r="D331" s="13" t="s">
        <v>80</v>
      </c>
      <c r="E331" s="13" t="s">
        <v>68</v>
      </c>
      <c r="F331" s="13"/>
      <c r="G331" s="13"/>
      <c r="H331" s="14"/>
      <c r="I331" s="13"/>
      <c r="J331" s="13"/>
      <c r="K331" s="13" t="str">
        <f t="shared" si="13"/>
        <v>https://en.wikipedia.org/wiki/Mount_Arlington,_New_Jersey</v>
      </c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</row>
    <row r="332" spans="1:47" ht="16" customHeight="1" x14ac:dyDescent="0.2">
      <c r="A332" s="15" t="s">
        <v>1050</v>
      </c>
      <c r="B332" s="15" t="s">
        <v>123</v>
      </c>
      <c r="C332" s="15" t="s">
        <v>1051</v>
      </c>
      <c r="D332" s="15" t="s">
        <v>80</v>
      </c>
      <c r="E332" s="15" t="s">
        <v>68</v>
      </c>
      <c r="F332" s="15"/>
      <c r="G332" s="15"/>
      <c r="H332" s="16"/>
      <c r="I332" s="15"/>
      <c r="J332" s="15"/>
      <c r="K332" s="13" t="str">
        <f t="shared" si="13"/>
        <v>https://en.wikipedia.org/wiki/Mount_Ephraim,_New_Jersey</v>
      </c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</row>
    <row r="333" spans="1:47" ht="16" customHeight="1" x14ac:dyDescent="0.2">
      <c r="A333" s="13" t="s">
        <v>1052</v>
      </c>
      <c r="B333" s="13" t="s">
        <v>150</v>
      </c>
      <c r="C333" s="13" t="s">
        <v>1053</v>
      </c>
      <c r="D333" s="13" t="s">
        <v>61</v>
      </c>
      <c r="E333" s="13" t="s">
        <v>83</v>
      </c>
      <c r="F333" s="13">
        <v>114</v>
      </c>
      <c r="G333" t="s">
        <v>1054</v>
      </c>
      <c r="H333" s="14">
        <v>45178</v>
      </c>
      <c r="I333" s="13" t="s">
        <v>2005</v>
      </c>
      <c r="J333" s="13" t="s">
        <v>2006</v>
      </c>
      <c r="K333" s="13" t="str">
        <f t="shared" si="13"/>
        <v>https://en.wikipedia.org/wiki/Mount_Holly_Township,_New_Jersey</v>
      </c>
      <c r="L333" s="13" t="s">
        <v>1055</v>
      </c>
      <c r="M333" s="13" t="s">
        <v>1056</v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 t="s">
        <v>1055</v>
      </c>
      <c r="AG333" s="13" t="s">
        <v>1057</v>
      </c>
      <c r="AH333" s="13"/>
      <c r="AI333" s="13"/>
      <c r="AJ333" s="13"/>
      <c r="AK333" s="13"/>
      <c r="AL333" s="13" t="s">
        <v>1058</v>
      </c>
      <c r="AM333" s="13" t="s">
        <v>1056</v>
      </c>
      <c r="AN333" s="13"/>
      <c r="AO333" s="13"/>
      <c r="AP333" s="13"/>
      <c r="AQ333" s="13"/>
      <c r="AR333" s="13"/>
      <c r="AS333" s="13"/>
      <c r="AT333" s="13"/>
      <c r="AU333" s="13"/>
    </row>
    <row r="334" spans="1:47" ht="16" customHeight="1" x14ac:dyDescent="0.2">
      <c r="A334" s="15" t="s">
        <v>1059</v>
      </c>
      <c r="B334" s="15" t="s">
        <v>150</v>
      </c>
      <c r="C334" s="15" t="s">
        <v>1060</v>
      </c>
      <c r="D334" s="15" t="s">
        <v>61</v>
      </c>
      <c r="E334" s="15" t="s">
        <v>83</v>
      </c>
      <c r="F334" s="15">
        <v>116</v>
      </c>
      <c r="G334" t="s">
        <v>1061</v>
      </c>
      <c r="H334" s="16">
        <v>45178</v>
      </c>
      <c r="I334" s="15"/>
      <c r="J334" s="15"/>
      <c r="K334" s="13" t="str">
        <f t="shared" si="13"/>
        <v>https://en.wikipedia.org/wiki/Mount_Laurel_Township,_New_Jersey</v>
      </c>
      <c r="L334" s="15" t="s">
        <v>1062</v>
      </c>
      <c r="M334" s="15" t="s">
        <v>1063</v>
      </c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 t="s">
        <v>1062</v>
      </c>
      <c r="AG334" s="15" t="s">
        <v>1064</v>
      </c>
      <c r="AH334" s="15"/>
      <c r="AI334" s="15"/>
      <c r="AJ334" s="15"/>
      <c r="AK334" s="15"/>
      <c r="AL334" s="15" t="s">
        <v>1065</v>
      </c>
      <c r="AM334" s="15" t="s">
        <v>1063</v>
      </c>
      <c r="AN334" s="15"/>
      <c r="AO334" s="15"/>
      <c r="AP334" s="15"/>
      <c r="AQ334" s="15"/>
      <c r="AR334" s="15"/>
      <c r="AS334" s="15"/>
      <c r="AT334" s="15"/>
      <c r="AU334" s="15"/>
    </row>
    <row r="335" spans="1:47" ht="16" customHeight="1" x14ac:dyDescent="0.2">
      <c r="A335" s="13" t="s">
        <v>1066</v>
      </c>
      <c r="B335" s="13" t="s">
        <v>236</v>
      </c>
      <c r="C335" s="13" t="s">
        <v>1067</v>
      </c>
      <c r="D335" s="13" t="s">
        <v>61</v>
      </c>
      <c r="E335" s="13" t="s">
        <v>68</v>
      </c>
      <c r="F335" s="13"/>
      <c r="G335" s="13"/>
      <c r="H335" s="14"/>
      <c r="I335" s="13"/>
      <c r="J335" s="13"/>
      <c r="K335" s="13" t="str">
        <f t="shared" si="13"/>
        <v>https://en.wikipedia.org/wiki/Mount_Olive_Township,_New_Jersey</v>
      </c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</row>
    <row r="336" spans="1:47" ht="16" customHeight="1" x14ac:dyDescent="0.2">
      <c r="A336" s="15" t="s">
        <v>1068</v>
      </c>
      <c r="B336" s="15" t="s">
        <v>236</v>
      </c>
      <c r="C336" s="15" t="s">
        <v>1069</v>
      </c>
      <c r="D336" s="15" t="s">
        <v>80</v>
      </c>
      <c r="E336" s="15" t="s">
        <v>68</v>
      </c>
      <c r="F336" s="15"/>
      <c r="G336" s="15"/>
      <c r="H336" s="16"/>
      <c r="I336" s="15"/>
      <c r="J336" s="15"/>
      <c r="K336" s="13" t="str">
        <f t="shared" si="13"/>
        <v>https://en.wikipedia.org/wiki/Mountain_Lakes,_New_Jersey</v>
      </c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</row>
    <row r="337" spans="1:47" ht="16" customHeight="1" x14ac:dyDescent="0.2">
      <c r="A337" s="13" t="s">
        <v>1070</v>
      </c>
      <c r="B337" s="13" t="s">
        <v>197</v>
      </c>
      <c r="C337" s="13" t="s">
        <v>1071</v>
      </c>
      <c r="D337" s="13" t="s">
        <v>80</v>
      </c>
      <c r="E337" s="13" t="s">
        <v>62</v>
      </c>
      <c r="F337" s="13"/>
      <c r="G337" s="13" t="s">
        <v>1072</v>
      </c>
      <c r="H337" s="14">
        <v>44702</v>
      </c>
      <c r="I337" s="13"/>
      <c r="J337" s="13"/>
      <c r="K337" s="13" t="str">
        <f t="shared" si="13"/>
        <v>https://en.wikipedia.org/wiki/Mountainside,_New_Jersey</v>
      </c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</row>
    <row r="338" spans="1:47" ht="16" customHeight="1" x14ac:dyDescent="0.2">
      <c r="A338" s="15" t="s">
        <v>1073</v>
      </c>
      <c r="B338" s="15" t="s">
        <v>65</v>
      </c>
      <c r="C338" s="15" t="s">
        <v>1074</v>
      </c>
      <c r="D338" s="15" t="s">
        <v>61</v>
      </c>
      <c r="E338" s="15" t="s">
        <v>68</v>
      </c>
      <c r="F338" s="15"/>
      <c r="G338" s="15"/>
      <c r="H338" s="16"/>
      <c r="I338" s="15"/>
      <c r="J338" s="15"/>
      <c r="K338" s="13" t="str">
        <f t="shared" si="13"/>
        <v>https://en.wikipedia.org/wiki/Mullica_Township,_New_Jersey</v>
      </c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</row>
    <row r="339" spans="1:47" ht="16" customHeight="1" x14ac:dyDescent="0.2">
      <c r="A339" s="13" t="s">
        <v>1075</v>
      </c>
      <c r="B339" s="13" t="s">
        <v>346</v>
      </c>
      <c r="C339" s="13" t="s">
        <v>1076</v>
      </c>
      <c r="D339" s="13" t="s">
        <v>80</v>
      </c>
      <c r="E339" s="13" t="s">
        <v>72</v>
      </c>
      <c r="F339" s="13">
        <v>212</v>
      </c>
      <c r="G339" t="s">
        <v>1077</v>
      </c>
      <c r="H339" s="14">
        <v>45480</v>
      </c>
      <c r="I339" s="13"/>
      <c r="J339" s="13"/>
      <c r="K339" s="13" t="str">
        <f t="shared" si="13"/>
        <v>https://en.wikipedia.org/wiki/National_Park,_New_Jersey</v>
      </c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</row>
    <row r="340" spans="1:47" ht="16" customHeight="1" x14ac:dyDescent="0.2">
      <c r="A340" s="15" t="s">
        <v>1078</v>
      </c>
      <c r="B340" s="15" t="s">
        <v>59</v>
      </c>
      <c r="C340" s="15" t="s">
        <v>1079</v>
      </c>
      <c r="D340" s="15" t="s">
        <v>61</v>
      </c>
      <c r="E340" s="15" t="s">
        <v>62</v>
      </c>
      <c r="F340" s="15"/>
      <c r="G340" s="15" t="s">
        <v>1080</v>
      </c>
      <c r="H340" s="16">
        <v>42973</v>
      </c>
      <c r="I340" s="15" t="s">
        <v>2007</v>
      </c>
      <c r="J340" s="15" t="s">
        <v>2008</v>
      </c>
      <c r="K340" s="13" t="str">
        <f t="shared" si="13"/>
        <v>https://en.wikipedia.org/wiki/Neptune_Township,_New_Jersey</v>
      </c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</row>
    <row r="341" spans="1:47" ht="16" customHeight="1" x14ac:dyDescent="0.2">
      <c r="A341" s="13" t="s">
        <v>1081</v>
      </c>
      <c r="B341" s="13" t="s">
        <v>59</v>
      </c>
      <c r="C341" s="13" t="s">
        <v>1082</v>
      </c>
      <c r="D341" s="13" t="s">
        <v>80</v>
      </c>
      <c r="E341" s="13" t="s">
        <v>62</v>
      </c>
      <c r="F341" s="13"/>
      <c r="G341" s="13" t="s">
        <v>1083</v>
      </c>
      <c r="H341" s="14">
        <v>43470</v>
      </c>
      <c r="I341" s="13" t="s">
        <v>2009</v>
      </c>
      <c r="J341" s="13" t="s">
        <v>2010</v>
      </c>
      <c r="K341" s="13" t="str">
        <f t="shared" si="13"/>
        <v>https://en.wikipedia.org/wiki/Neptune_City,_New_Jersey</v>
      </c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</row>
    <row r="342" spans="1:47" ht="16" customHeight="1" x14ac:dyDescent="0.2">
      <c r="A342" s="15" t="s">
        <v>1084</v>
      </c>
      <c r="B342" s="15" t="s">
        <v>236</v>
      </c>
      <c r="C342" s="15" t="s">
        <v>1085</v>
      </c>
      <c r="D342" s="15" t="s">
        <v>80</v>
      </c>
      <c r="E342" s="15" t="s">
        <v>68</v>
      </c>
      <c r="F342" s="15"/>
      <c r="G342" s="15"/>
      <c r="H342" s="16"/>
      <c r="I342" s="15"/>
      <c r="J342" s="15"/>
      <c r="K342" s="13" t="str">
        <f t="shared" si="13"/>
        <v>https://en.wikipedia.org/wiki/Netcong,_New_Jersey</v>
      </c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</row>
    <row r="343" spans="1:47" ht="16" customHeight="1" x14ac:dyDescent="0.2">
      <c r="A343" s="13" t="s">
        <v>1086</v>
      </c>
      <c r="B343" s="13" t="s">
        <v>314</v>
      </c>
      <c r="C343" s="13" t="s">
        <v>1087</v>
      </c>
      <c r="D343" s="13" t="s">
        <v>67</v>
      </c>
      <c r="E343" s="13" t="s">
        <v>62</v>
      </c>
      <c r="F343" s="13"/>
      <c r="G343" s="13" t="s">
        <v>1088</v>
      </c>
      <c r="H343" s="14">
        <v>45098</v>
      </c>
      <c r="I343" s="13" t="s">
        <v>1088</v>
      </c>
      <c r="J343" s="13" t="s">
        <v>2011</v>
      </c>
      <c r="K343" s="13" t="str">
        <f t="shared" si="13"/>
        <v>https://en.wikipedia.org/wiki/New_Brunswick,_New_Jersey</v>
      </c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</row>
    <row r="344" spans="1:47" ht="16" customHeight="1" x14ac:dyDescent="0.2">
      <c r="A344" s="15" t="s">
        <v>1089</v>
      </c>
      <c r="B344" s="15" t="s">
        <v>150</v>
      </c>
      <c r="C344" s="15" t="s">
        <v>1090</v>
      </c>
      <c r="D344" s="15" t="s">
        <v>61</v>
      </c>
      <c r="E344" s="15" t="s">
        <v>68</v>
      </c>
      <c r="F344" s="15"/>
      <c r="G344" s="15"/>
      <c r="H344" s="16"/>
      <c r="I344" s="15"/>
      <c r="J344" s="15"/>
      <c r="K344" s="13" t="str">
        <f t="shared" si="13"/>
        <v>https://en.wikipedia.org/wiki/New_Hanover_Township,_New_Jersey</v>
      </c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</row>
    <row r="345" spans="1:47" ht="16" customHeight="1" x14ac:dyDescent="0.2">
      <c r="A345" s="13" t="s">
        <v>1091</v>
      </c>
      <c r="B345" s="13" t="s">
        <v>78</v>
      </c>
      <c r="C345" s="13" t="s">
        <v>1092</v>
      </c>
      <c r="D345" s="13" t="s">
        <v>80</v>
      </c>
      <c r="E345" s="13" t="s">
        <v>68</v>
      </c>
      <c r="F345" s="13"/>
      <c r="G345" s="13"/>
      <c r="H345" s="14"/>
      <c r="I345" s="13"/>
      <c r="J345" s="13"/>
      <c r="K345" s="13" t="str">
        <f t="shared" si="13"/>
        <v>https://en.wikipedia.org/wiki/New_Milford,_New_Jersey</v>
      </c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</row>
    <row r="346" spans="1:47" ht="16" customHeight="1" x14ac:dyDescent="0.2">
      <c r="A346" s="15" t="s">
        <v>1093</v>
      </c>
      <c r="B346" s="15" t="s">
        <v>197</v>
      </c>
      <c r="C346" s="15" t="s">
        <v>1094</v>
      </c>
      <c r="D346" s="15" t="s">
        <v>80</v>
      </c>
      <c r="E346" s="15" t="s">
        <v>68</v>
      </c>
      <c r="F346" s="15"/>
      <c r="G346" s="15"/>
      <c r="H346" s="16"/>
      <c r="I346" s="15"/>
      <c r="J346" s="15"/>
      <c r="K346" s="13" t="str">
        <f t="shared" si="13"/>
        <v>https://en.wikipedia.org/wiki/New_Providence,_New_Jersey</v>
      </c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</row>
    <row r="347" spans="1:47" ht="16" customHeight="1" x14ac:dyDescent="0.2">
      <c r="A347" s="13" t="s">
        <v>1095</v>
      </c>
      <c r="B347" s="13" t="s">
        <v>178</v>
      </c>
      <c r="C347" s="13" t="s">
        <v>1096</v>
      </c>
      <c r="D347" s="13" t="s">
        <v>67</v>
      </c>
      <c r="E347" s="13" t="s">
        <v>62</v>
      </c>
      <c r="F347" s="13"/>
      <c r="G347" s="13" t="s">
        <v>1097</v>
      </c>
      <c r="H347" s="14">
        <v>44772</v>
      </c>
      <c r="I347" s="13" t="s">
        <v>1097</v>
      </c>
      <c r="J347" s="13" t="s">
        <v>2012</v>
      </c>
      <c r="K347" s="13" t="str">
        <f t="shared" si="13"/>
        <v>https://en.wikipedia.org/wiki/Newark,_New_Jersey</v>
      </c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</row>
    <row r="348" spans="1:47" ht="16" customHeight="1" x14ac:dyDescent="0.2">
      <c r="A348" s="15" t="s">
        <v>1098</v>
      </c>
      <c r="B348" s="15" t="s">
        <v>346</v>
      </c>
      <c r="C348" s="15" t="s">
        <v>1099</v>
      </c>
      <c r="D348" s="15" t="s">
        <v>80</v>
      </c>
      <c r="E348" s="15" t="s">
        <v>68</v>
      </c>
      <c r="F348" s="15"/>
      <c r="G348" s="15"/>
      <c r="H348" s="16"/>
      <c r="I348" s="15"/>
      <c r="J348" s="15"/>
      <c r="K348" s="13" t="str">
        <f t="shared" si="13"/>
        <v>https://en.wikipedia.org/wiki/Newfield,_New_Jersey</v>
      </c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</row>
    <row r="349" spans="1:47" ht="16" customHeight="1" x14ac:dyDescent="0.2">
      <c r="A349" s="13" t="s">
        <v>1100</v>
      </c>
      <c r="B349" s="13" t="s">
        <v>106</v>
      </c>
      <c r="C349" s="13" t="s">
        <v>1101</v>
      </c>
      <c r="D349" s="13" t="s">
        <v>189</v>
      </c>
      <c r="E349" s="13" t="s">
        <v>68</v>
      </c>
      <c r="F349" s="13"/>
      <c r="G349" s="13"/>
      <c r="H349" s="14"/>
      <c r="I349" s="13"/>
      <c r="J349" s="13"/>
      <c r="K349" s="13" t="str">
        <f t="shared" si="13"/>
        <v>https://en.wikipedia.org/wiki/Newton,_New_Jersey</v>
      </c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</row>
    <row r="350" spans="1:47" ht="16" customHeight="1" x14ac:dyDescent="0.2">
      <c r="A350" s="15" t="s">
        <v>1102</v>
      </c>
      <c r="B350" s="15" t="s">
        <v>78</v>
      </c>
      <c r="C350" s="15" t="s">
        <v>1103</v>
      </c>
      <c r="D350" s="15" t="s">
        <v>80</v>
      </c>
      <c r="E350" s="15" t="s">
        <v>72</v>
      </c>
      <c r="F350" s="15">
        <v>148</v>
      </c>
      <c r="G350" s="15" t="s">
        <v>1104</v>
      </c>
      <c r="H350" s="67" t="s">
        <v>1105</v>
      </c>
      <c r="I350" s="15" t="s">
        <v>2013</v>
      </c>
      <c r="J350" s="15" t="s">
        <v>2014</v>
      </c>
      <c r="K350" s="13" t="str">
        <f t="shared" si="13"/>
        <v>https://en.wikipedia.org/wiki/North_Arlington,_New_Jersey</v>
      </c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</row>
    <row r="351" spans="1:47" ht="16" customHeight="1" x14ac:dyDescent="0.2">
      <c r="A351" s="13" t="s">
        <v>1106</v>
      </c>
      <c r="B351" s="13" t="s">
        <v>157</v>
      </c>
      <c r="C351" s="13" t="s">
        <v>1107</v>
      </c>
      <c r="D351" s="13" t="s">
        <v>61</v>
      </c>
      <c r="E351" s="13" t="s">
        <v>68</v>
      </c>
      <c r="F351" s="13"/>
      <c r="G351" s="13"/>
      <c r="H351" s="14"/>
      <c r="I351" s="13"/>
      <c r="J351" s="13"/>
      <c r="K351" s="13" t="str">
        <f t="shared" si="13"/>
        <v>https://en.wikipedia.org/wiki/North_Bergen_Township,_New_Jersey</v>
      </c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</row>
    <row r="352" spans="1:47" ht="16" customHeight="1" x14ac:dyDescent="0.2">
      <c r="A352" s="15" t="s">
        <v>1108</v>
      </c>
      <c r="B352" s="15" t="s">
        <v>314</v>
      </c>
      <c r="C352" s="15" t="s">
        <v>1109</v>
      </c>
      <c r="D352" s="15" t="s">
        <v>61</v>
      </c>
      <c r="E352" s="15" t="s">
        <v>62</v>
      </c>
      <c r="F352" s="15"/>
      <c r="G352" s="15" t="s">
        <v>1110</v>
      </c>
      <c r="H352" s="16">
        <v>41910</v>
      </c>
      <c r="I352" s="15"/>
      <c r="J352" s="15"/>
      <c r="K352" s="13" t="str">
        <f t="shared" si="13"/>
        <v>https://en.wikipedia.org/wiki/North_Brunswick_Township,_New_Jersey</v>
      </c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</row>
    <row r="353" spans="1:47" ht="16" customHeight="1" x14ac:dyDescent="0.2">
      <c r="A353" s="13" t="s">
        <v>1111</v>
      </c>
      <c r="B353" s="13" t="s">
        <v>178</v>
      </c>
      <c r="C353" s="13" t="s">
        <v>1112</v>
      </c>
      <c r="D353" s="13" t="s">
        <v>80</v>
      </c>
      <c r="E353" s="13" t="s">
        <v>68</v>
      </c>
      <c r="F353" s="13"/>
      <c r="G353" s="13"/>
      <c r="H353" s="14"/>
      <c r="I353" s="13"/>
      <c r="J353" s="13"/>
      <c r="K353" s="13" t="str">
        <f t="shared" si="13"/>
        <v>https://en.wikipedia.org/wiki/North_Caldwell,_New_Jersey</v>
      </c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</row>
    <row r="354" spans="1:47" ht="16" customHeight="1" x14ac:dyDescent="0.2">
      <c r="A354" s="15" t="s">
        <v>1113</v>
      </c>
      <c r="B354" s="15" t="s">
        <v>229</v>
      </c>
      <c r="C354" s="15" t="s">
        <v>1114</v>
      </c>
      <c r="D354" s="15" t="s">
        <v>80</v>
      </c>
      <c r="E354" s="15" t="s">
        <v>68</v>
      </c>
      <c r="F354" s="15"/>
      <c r="G354" s="15"/>
      <c r="H354" s="16"/>
      <c r="I354" s="15"/>
      <c r="J354" s="15"/>
      <c r="K354" s="13" t="str">
        <f t="shared" si="13"/>
        <v>https://en.wikipedia.org/wiki/North_Haledon,_New_Jersey</v>
      </c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</row>
    <row r="355" spans="1:47" ht="16" customHeight="1" x14ac:dyDescent="0.2">
      <c r="A355" s="13" t="s">
        <v>1115</v>
      </c>
      <c r="B355" s="13" t="s">
        <v>150</v>
      </c>
      <c r="C355" s="13" t="s">
        <v>1116</v>
      </c>
      <c r="D355" s="13" t="s">
        <v>61</v>
      </c>
      <c r="E355" s="13" t="s">
        <v>68</v>
      </c>
      <c r="F355" s="13"/>
      <c r="G355" s="13"/>
      <c r="H355" s="14"/>
      <c r="I355" s="13"/>
      <c r="J355" s="13"/>
      <c r="K355" s="13" t="str">
        <f t="shared" si="13"/>
        <v>https://en.wikipedia.org/wiki/North_Hanover_Township,_New_Jersey</v>
      </c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</row>
    <row r="356" spans="1:47" ht="16" customHeight="1" x14ac:dyDescent="0.2">
      <c r="A356" s="15" t="s">
        <v>1117</v>
      </c>
      <c r="B356" s="15" t="s">
        <v>175</v>
      </c>
      <c r="C356" s="15" t="s">
        <v>1118</v>
      </c>
      <c r="D356" s="15" t="s">
        <v>80</v>
      </c>
      <c r="E356" s="15" t="s">
        <v>68</v>
      </c>
      <c r="F356" s="15"/>
      <c r="G356" s="15"/>
      <c r="H356" s="16"/>
      <c r="I356" s="15"/>
      <c r="J356" s="15"/>
      <c r="K356" s="13" t="str">
        <f t="shared" si="13"/>
        <v>https://en.wikipedia.org/wiki/North_Plainfield,_New_Jersey</v>
      </c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</row>
    <row r="357" spans="1:47" ht="16" customHeight="1" x14ac:dyDescent="0.2">
      <c r="A357" s="13" t="s">
        <v>1119</v>
      </c>
      <c r="B357" s="13" t="s">
        <v>130</v>
      </c>
      <c r="C357" s="13" t="s">
        <v>1120</v>
      </c>
      <c r="D357" s="13" t="s">
        <v>67</v>
      </c>
      <c r="E357" s="13" t="s">
        <v>68</v>
      </c>
      <c r="F357" s="13"/>
      <c r="G357" s="13"/>
      <c r="H357" s="14"/>
      <c r="I357" s="13"/>
      <c r="J357" s="13"/>
      <c r="K357" s="13" t="str">
        <f t="shared" si="13"/>
        <v>https://en.wikipedia.org/wiki/North_Wildwood,_New_Jersey</v>
      </c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</row>
    <row r="358" spans="1:47" ht="16" customHeight="1" x14ac:dyDescent="0.2">
      <c r="A358" s="15" t="s">
        <v>1121</v>
      </c>
      <c r="B358" s="15" t="s">
        <v>65</v>
      </c>
      <c r="C358" s="15" t="s">
        <v>1122</v>
      </c>
      <c r="D358" s="15" t="s">
        <v>67</v>
      </c>
      <c r="E358" s="15" t="s">
        <v>62</v>
      </c>
      <c r="F358" s="15"/>
      <c r="G358" s="15" t="s">
        <v>1123</v>
      </c>
      <c r="H358" s="16">
        <v>45619</v>
      </c>
      <c r="I358" s="15" t="s">
        <v>1124</v>
      </c>
      <c r="J358" s="15" t="s">
        <v>1125</v>
      </c>
      <c r="K358" s="13" t="str">
        <f t="shared" si="13"/>
        <v>https://en.wikipedia.org/wiki/Northfield,_New_Jersey</v>
      </c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</row>
    <row r="359" spans="1:47" ht="16" customHeight="1" x14ac:dyDescent="0.2">
      <c r="A359" s="13" t="s">
        <v>1126</v>
      </c>
      <c r="B359" s="13" t="s">
        <v>78</v>
      </c>
      <c r="C359" s="13" t="s">
        <v>1127</v>
      </c>
      <c r="D359" s="13" t="s">
        <v>80</v>
      </c>
      <c r="E359" s="13" t="s">
        <v>68</v>
      </c>
      <c r="F359" s="13"/>
      <c r="G359" s="13"/>
      <c r="H359" s="14"/>
      <c r="I359" s="13"/>
      <c r="J359" s="13"/>
      <c r="K359" s="13" t="str">
        <f t="shared" si="13"/>
        <v>https://en.wikipedia.org/wiki/Northvale,_New_Jersey</v>
      </c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</row>
    <row r="360" spans="1:47" ht="16" customHeight="1" x14ac:dyDescent="0.2">
      <c r="A360" s="15" t="s">
        <v>1128</v>
      </c>
      <c r="B360" s="15" t="s">
        <v>78</v>
      </c>
      <c r="C360" s="15" t="s">
        <v>1129</v>
      </c>
      <c r="D360" s="15" t="s">
        <v>80</v>
      </c>
      <c r="E360" s="15" t="s">
        <v>68</v>
      </c>
      <c r="F360" s="15"/>
      <c r="G360" s="15"/>
      <c r="H360" s="16"/>
      <c r="I360" s="15"/>
      <c r="J360" s="15"/>
      <c r="K360" s="13" t="str">
        <f t="shared" si="13"/>
        <v>https://en.wikipedia.org/wiki/Norwood,_New_Jersey</v>
      </c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</row>
    <row r="361" spans="1:47" ht="16" customHeight="1" x14ac:dyDescent="0.2">
      <c r="A361" s="13" t="s">
        <v>1130</v>
      </c>
      <c r="B361" s="13" t="s">
        <v>178</v>
      </c>
      <c r="C361" s="13" t="s">
        <v>1131</v>
      </c>
      <c r="D361" s="13" t="s">
        <v>61</v>
      </c>
      <c r="E361" s="13" t="s">
        <v>72</v>
      </c>
      <c r="F361" s="13">
        <v>222</v>
      </c>
      <c r="G361" s="13" t="s">
        <v>1132</v>
      </c>
      <c r="H361" s="14">
        <v>45522</v>
      </c>
      <c r="I361" s="13" t="s">
        <v>2015</v>
      </c>
      <c r="J361" s="13" t="s">
        <v>2016</v>
      </c>
      <c r="K361" s="13" t="str">
        <f t="shared" si="13"/>
        <v>https://en.wikipedia.org/wiki/Nutley_Township,_New_Jersey</v>
      </c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</row>
    <row r="362" spans="1:47" ht="16" customHeight="1" x14ac:dyDescent="0.2">
      <c r="A362" s="15" t="s">
        <v>1133</v>
      </c>
      <c r="B362" s="15" t="s">
        <v>78</v>
      </c>
      <c r="C362" s="15" t="s">
        <v>1134</v>
      </c>
      <c r="D362" s="15" t="s">
        <v>80</v>
      </c>
      <c r="E362" s="15" t="s">
        <v>68</v>
      </c>
      <c r="F362" s="15"/>
      <c r="G362" s="15"/>
      <c r="H362" s="16"/>
      <c r="I362" s="15"/>
      <c r="J362" s="15"/>
      <c r="K362" s="13" t="str">
        <f t="shared" si="13"/>
        <v>https://en.wikipedia.org/wiki/Oakland,_New_Jersey</v>
      </c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</row>
    <row r="363" spans="1:47" ht="16" customHeight="1" x14ac:dyDescent="0.2">
      <c r="A363" s="13" t="s">
        <v>1135</v>
      </c>
      <c r="B363" s="13" t="s">
        <v>123</v>
      </c>
      <c r="C363" s="13" t="s">
        <v>1136</v>
      </c>
      <c r="D363" s="13" t="s">
        <v>80</v>
      </c>
      <c r="E363" s="13" t="s">
        <v>72</v>
      </c>
      <c r="F363" s="13">
        <v>271</v>
      </c>
      <c r="G363" s="13" t="s">
        <v>1137</v>
      </c>
      <c r="H363" s="68" t="s">
        <v>1138</v>
      </c>
      <c r="I363" s="13" t="s">
        <v>2017</v>
      </c>
      <c r="J363" s="13" t="s">
        <v>2018</v>
      </c>
      <c r="K363" s="13" t="str">
        <f t="shared" si="13"/>
        <v>https://en.wikipedia.org/wiki/Oaklyn,_New_Jersey</v>
      </c>
      <c r="L363" s="13" t="s">
        <v>1139</v>
      </c>
      <c r="M363" s="13" t="s">
        <v>1140</v>
      </c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</row>
    <row r="364" spans="1:47" ht="16" customHeight="1" x14ac:dyDescent="0.2">
      <c r="A364" s="15" t="s">
        <v>139</v>
      </c>
      <c r="B364" s="15" t="s">
        <v>59</v>
      </c>
      <c r="C364" s="15" t="s">
        <v>1141</v>
      </c>
      <c r="D364" s="15" t="s">
        <v>61</v>
      </c>
      <c r="E364" s="15" t="s">
        <v>62</v>
      </c>
      <c r="F364" s="15"/>
      <c r="G364" s="15" t="s">
        <v>1142</v>
      </c>
      <c r="H364" s="16">
        <v>43829</v>
      </c>
      <c r="I364" s="15" t="s">
        <v>1142</v>
      </c>
      <c r="J364" s="15" t="s">
        <v>2019</v>
      </c>
      <c r="K364" s="13" t="s">
        <v>1143</v>
      </c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</row>
    <row r="365" spans="1:47" ht="16" customHeight="1" x14ac:dyDescent="0.2">
      <c r="A365" s="13" t="s">
        <v>139</v>
      </c>
      <c r="B365" s="13" t="s">
        <v>139</v>
      </c>
      <c r="C365" s="13" t="s">
        <v>1144</v>
      </c>
      <c r="D365" s="13" t="s">
        <v>61</v>
      </c>
      <c r="E365" s="13" t="s">
        <v>72</v>
      </c>
      <c r="F365" s="13">
        <v>265</v>
      </c>
      <c r="G365" t="s">
        <v>1145</v>
      </c>
      <c r="H365" s="14">
        <v>45705</v>
      </c>
      <c r="I365" s="13" t="s">
        <v>1145</v>
      </c>
      <c r="J365" s="13" t="s">
        <v>2037</v>
      </c>
      <c r="K365" s="13" t="s">
        <v>1146</v>
      </c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</row>
    <row r="366" spans="1:47" ht="16" customHeight="1" x14ac:dyDescent="0.2">
      <c r="A366" s="15" t="s">
        <v>1147</v>
      </c>
      <c r="B366" s="15" t="s">
        <v>130</v>
      </c>
      <c r="C366" s="15" t="s">
        <v>1148</v>
      </c>
      <c r="D366" s="15" t="s">
        <v>67</v>
      </c>
      <c r="E366" s="15" t="s">
        <v>62</v>
      </c>
      <c r="F366" s="15"/>
      <c r="G366" s="15" t="s">
        <v>1149</v>
      </c>
      <c r="H366" s="16">
        <v>42946</v>
      </c>
      <c r="I366" s="15"/>
      <c r="J366" s="15"/>
      <c r="K366" s="13" t="str">
        <f t="shared" ref="K366:K413" si="14">IF(A366="","","https://en.wikipedia.org/wiki/"&amp;SUBSTITUTE(A366," ","_")&amp;IF(D366="township","_Township","")&amp;",_New_Jersey")</f>
        <v>https://en.wikipedia.org/wiki/Ocean_City,_New_Jersey</v>
      </c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</row>
    <row r="367" spans="1:47" ht="16" customHeight="1" x14ac:dyDescent="0.2">
      <c r="A367" s="13" t="s">
        <v>1150</v>
      </c>
      <c r="B367" s="13" t="s">
        <v>139</v>
      </c>
      <c r="C367" s="13" t="s">
        <v>1151</v>
      </c>
      <c r="D367" s="13" t="s">
        <v>80</v>
      </c>
      <c r="E367" s="13" t="s">
        <v>72</v>
      </c>
      <c r="F367" s="13">
        <v>182</v>
      </c>
      <c r="G367" t="s">
        <v>1152</v>
      </c>
      <c r="H367" s="14">
        <v>45359</v>
      </c>
      <c r="I367" s="13" t="s">
        <v>1152</v>
      </c>
      <c r="J367" s="13" t="s">
        <v>2038</v>
      </c>
      <c r="K367" s="13" t="str">
        <f t="shared" si="14"/>
        <v>https://en.wikipedia.org/wiki/Ocean_Gate,_New_Jersey</v>
      </c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</row>
    <row r="368" spans="1:47" ht="16" customHeight="1" x14ac:dyDescent="0.2">
      <c r="A368" s="15" t="s">
        <v>1153</v>
      </c>
      <c r="B368" s="15" t="s">
        <v>59</v>
      </c>
      <c r="C368" s="15" t="s">
        <v>1154</v>
      </c>
      <c r="D368" s="15" t="s">
        <v>80</v>
      </c>
      <c r="E368" s="15" t="s">
        <v>83</v>
      </c>
      <c r="F368" s="15">
        <v>117</v>
      </c>
      <c r="G368" s="15" t="s">
        <v>1155</v>
      </c>
      <c r="H368" s="16">
        <v>45183</v>
      </c>
      <c r="I368" s="15" t="s">
        <v>2039</v>
      </c>
      <c r="J368" s="15" t="s">
        <v>2040</v>
      </c>
      <c r="K368" s="13" t="str">
        <f t="shared" si="14"/>
        <v>https://en.wikipedia.org/wiki/Oceanport,_New_Jersey</v>
      </c>
      <c r="L368" s="15" t="s">
        <v>1156</v>
      </c>
      <c r="M368" s="15" t="s">
        <v>1157</v>
      </c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 t="s">
        <v>1158</v>
      </c>
      <c r="AM368" s="15" t="s">
        <v>1157</v>
      </c>
      <c r="AN368" s="15"/>
      <c r="AO368" s="15"/>
      <c r="AP368" s="15"/>
      <c r="AQ368" s="15"/>
      <c r="AR368" s="15"/>
      <c r="AS368" s="15"/>
      <c r="AT368" s="15"/>
      <c r="AU368" s="15"/>
    </row>
    <row r="369" spans="1:47" ht="16" customHeight="1" x14ac:dyDescent="0.2">
      <c r="A369" s="13" t="s">
        <v>1159</v>
      </c>
      <c r="B369" s="13" t="s">
        <v>106</v>
      </c>
      <c r="C369" s="13" t="s">
        <v>1160</v>
      </c>
      <c r="D369" s="13" t="s">
        <v>80</v>
      </c>
      <c r="E369" s="13" t="s">
        <v>68</v>
      </c>
      <c r="F369" s="13"/>
      <c r="G369" s="13"/>
      <c r="H369" s="14"/>
      <c r="I369" s="13"/>
      <c r="J369" s="13"/>
      <c r="K369" s="13" t="str">
        <f t="shared" si="14"/>
        <v>https://en.wikipedia.org/wiki/Ogdensburg,_New_Jersey</v>
      </c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</row>
    <row r="370" spans="1:47" ht="16" customHeight="1" x14ac:dyDescent="0.2">
      <c r="A370" s="15" t="s">
        <v>1161</v>
      </c>
      <c r="B370" s="15" t="s">
        <v>314</v>
      </c>
      <c r="C370" s="15" t="s">
        <v>1162</v>
      </c>
      <c r="D370" s="15" t="s">
        <v>61</v>
      </c>
      <c r="E370" s="15" t="s">
        <v>62</v>
      </c>
      <c r="F370" s="15"/>
      <c r="G370" s="15" t="s">
        <v>1163</v>
      </c>
      <c r="H370" s="16">
        <v>45016</v>
      </c>
      <c r="I370" s="15" t="s">
        <v>2020</v>
      </c>
      <c r="J370" s="15" t="s">
        <v>2021</v>
      </c>
      <c r="K370" s="13" t="str">
        <f t="shared" si="14"/>
        <v>https://en.wikipedia.org/wiki/Old_Bridge_Township,_New_Jersey</v>
      </c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</row>
    <row r="371" spans="1:47" ht="16" customHeight="1" x14ac:dyDescent="0.2">
      <c r="A371" s="13" t="s">
        <v>1164</v>
      </c>
      <c r="B371" s="13" t="s">
        <v>78</v>
      </c>
      <c r="C371" s="13" t="s">
        <v>1165</v>
      </c>
      <c r="D371" s="13" t="s">
        <v>80</v>
      </c>
      <c r="E371" s="13" t="s">
        <v>68</v>
      </c>
      <c r="F371" s="13"/>
      <c r="G371" s="13"/>
      <c r="H371" s="14"/>
      <c r="I371" s="13"/>
      <c r="J371" s="13"/>
      <c r="K371" s="13" t="str">
        <f t="shared" si="14"/>
        <v>https://en.wikipedia.org/wiki/Old_Tappan,_New_Jersey</v>
      </c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</row>
    <row r="372" spans="1:47" ht="16" customHeight="1" x14ac:dyDescent="0.2">
      <c r="A372" s="15" t="s">
        <v>1166</v>
      </c>
      <c r="B372" s="15" t="s">
        <v>96</v>
      </c>
      <c r="C372" s="15" t="s">
        <v>1167</v>
      </c>
      <c r="D372" s="15" t="s">
        <v>61</v>
      </c>
      <c r="E372" s="15" t="s">
        <v>68</v>
      </c>
      <c r="F372" s="15"/>
      <c r="G372" s="15"/>
      <c r="H372" s="16"/>
      <c r="I372" s="15"/>
      <c r="J372" s="15"/>
      <c r="K372" s="13" t="str">
        <f t="shared" si="14"/>
        <v>https://en.wikipedia.org/wiki/Oldmans_Township,_New_Jersey</v>
      </c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</row>
    <row r="373" spans="1:47" ht="16" customHeight="1" x14ac:dyDescent="0.2">
      <c r="A373" s="13" t="s">
        <v>1168</v>
      </c>
      <c r="B373" s="13" t="s">
        <v>78</v>
      </c>
      <c r="C373" s="13" t="s">
        <v>1169</v>
      </c>
      <c r="D373" s="13" t="s">
        <v>80</v>
      </c>
      <c r="E373" s="13" t="s">
        <v>68</v>
      </c>
      <c r="F373" s="13"/>
      <c r="G373" s="13"/>
      <c r="H373" s="14"/>
      <c r="I373" s="13"/>
      <c r="J373" s="13"/>
      <c r="K373" s="13" t="str">
        <f t="shared" si="14"/>
        <v>https://en.wikipedia.org/wiki/Oradell,_New_Jersey</v>
      </c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</row>
    <row r="374" spans="1:47" ht="16" customHeight="1" x14ac:dyDescent="0.2">
      <c r="A374" s="15" t="s">
        <v>1170</v>
      </c>
      <c r="B374" s="15" t="s">
        <v>75</v>
      </c>
      <c r="C374" s="15" t="s">
        <v>1171</v>
      </c>
      <c r="D374" s="15" t="s">
        <v>61</v>
      </c>
      <c r="E374" s="15" t="s">
        <v>68</v>
      </c>
      <c r="F374" s="15"/>
      <c r="G374" s="15"/>
      <c r="H374" s="16"/>
      <c r="I374" s="15"/>
      <c r="J374" s="15"/>
      <c r="K374" s="13" t="str">
        <f t="shared" si="14"/>
        <v>https://en.wikipedia.org/wiki/Oxford_Township,_New_Jersey</v>
      </c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</row>
    <row r="375" spans="1:47" ht="16" customHeight="1" x14ac:dyDescent="0.2">
      <c r="A375" s="13" t="s">
        <v>1172</v>
      </c>
      <c r="B375" s="13" t="s">
        <v>78</v>
      </c>
      <c r="C375" s="13" t="s">
        <v>1173</v>
      </c>
      <c r="D375" s="13" t="s">
        <v>80</v>
      </c>
      <c r="E375" s="13" t="s">
        <v>72</v>
      </c>
      <c r="F375" s="13">
        <v>179</v>
      </c>
      <c r="G375" s="13" t="s">
        <v>1174</v>
      </c>
      <c r="H375" s="68" t="s">
        <v>552</v>
      </c>
      <c r="I375" s="13"/>
      <c r="J375" s="13"/>
      <c r="K375" s="13" t="str">
        <f t="shared" si="14"/>
        <v>https://en.wikipedia.org/wiki/Palisades_Park,_New_Jersey</v>
      </c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</row>
    <row r="376" spans="1:47" ht="16" customHeight="1" x14ac:dyDescent="0.2">
      <c r="A376" s="15" t="s">
        <v>1175</v>
      </c>
      <c r="B376" s="15" t="s">
        <v>150</v>
      </c>
      <c r="C376" s="15" t="s">
        <v>1176</v>
      </c>
      <c r="D376" s="15" t="s">
        <v>80</v>
      </c>
      <c r="E376" s="15" t="s">
        <v>68</v>
      </c>
      <c r="F376" s="15"/>
      <c r="G376" s="15"/>
      <c r="H376" s="16"/>
      <c r="I376" s="15"/>
      <c r="J376" s="15"/>
      <c r="K376" s="13" t="str">
        <f t="shared" si="14"/>
        <v>https://en.wikipedia.org/wiki/Palmyra,_New_Jersey</v>
      </c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</row>
    <row r="377" spans="1:47" ht="16" customHeight="1" x14ac:dyDescent="0.2">
      <c r="A377" s="13" t="s">
        <v>1177</v>
      </c>
      <c r="B377" s="13" t="s">
        <v>78</v>
      </c>
      <c r="C377" s="13" t="s">
        <v>1178</v>
      </c>
      <c r="D377" s="13" t="s">
        <v>80</v>
      </c>
      <c r="E377" s="13" t="s">
        <v>68</v>
      </c>
      <c r="F377" s="13"/>
      <c r="G377" s="13"/>
      <c r="H377" s="14"/>
      <c r="I377" s="13"/>
      <c r="J377" s="13"/>
      <c r="K377" s="13" t="str">
        <f t="shared" si="14"/>
        <v>https://en.wikipedia.org/wiki/Paramus,_New_Jersey</v>
      </c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</row>
    <row r="378" spans="1:47" ht="16" customHeight="1" x14ac:dyDescent="0.2">
      <c r="A378" s="15" t="s">
        <v>1179</v>
      </c>
      <c r="B378" s="15" t="s">
        <v>78</v>
      </c>
      <c r="C378" s="15" t="s">
        <v>1180</v>
      </c>
      <c r="D378" s="15" t="s">
        <v>80</v>
      </c>
      <c r="E378" s="15" t="s">
        <v>68</v>
      </c>
      <c r="F378" s="15"/>
      <c r="G378" s="15"/>
      <c r="H378" s="16"/>
      <c r="I378" s="15"/>
      <c r="J378" s="15"/>
      <c r="K378" s="13" t="str">
        <f t="shared" si="14"/>
        <v>https://en.wikipedia.org/wiki/Park_Ridge,_New_Jersey</v>
      </c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</row>
    <row r="379" spans="1:47" ht="16" customHeight="1" x14ac:dyDescent="0.2">
      <c r="A379" s="13" t="s">
        <v>1181</v>
      </c>
      <c r="B379" s="13" t="s">
        <v>236</v>
      </c>
      <c r="C379" s="13" t="s">
        <v>1182</v>
      </c>
      <c r="D379" s="13" t="s">
        <v>61</v>
      </c>
      <c r="E379" s="13" t="s">
        <v>62</v>
      </c>
      <c r="F379" s="13"/>
      <c r="G379" s="13" t="s">
        <v>1183</v>
      </c>
      <c r="H379" s="14">
        <v>42386</v>
      </c>
      <c r="I379" s="13" t="s">
        <v>2041</v>
      </c>
      <c r="J379" s="13" t="s">
        <v>2042</v>
      </c>
      <c r="K379" s="13" t="str">
        <f t="shared" si="14"/>
        <v>https://en.wikipedia.org/wiki/Parsippany-Troy_Hills_Township,_New_Jersey</v>
      </c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</row>
    <row r="380" spans="1:47" ht="16" customHeight="1" x14ac:dyDescent="0.2">
      <c r="A380" s="15" t="s">
        <v>229</v>
      </c>
      <c r="B380" s="15" t="s">
        <v>229</v>
      </c>
      <c r="C380" s="15" t="s">
        <v>1184</v>
      </c>
      <c r="D380" s="15" t="s">
        <v>67</v>
      </c>
      <c r="E380" s="15" t="s">
        <v>68</v>
      </c>
      <c r="F380" s="15"/>
      <c r="G380" s="15"/>
      <c r="H380" s="16"/>
      <c r="I380" s="15"/>
      <c r="J380" s="15"/>
      <c r="K380" s="13" t="str">
        <f t="shared" si="14"/>
        <v>https://en.wikipedia.org/wiki/Passaic,_New_Jersey</v>
      </c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</row>
    <row r="381" spans="1:47" ht="16" customHeight="1" x14ac:dyDescent="0.2">
      <c r="A381" s="13" t="s">
        <v>1185</v>
      </c>
      <c r="B381" s="13" t="s">
        <v>229</v>
      </c>
      <c r="C381" s="13" t="s">
        <v>1186</v>
      </c>
      <c r="D381" s="13" t="s">
        <v>67</v>
      </c>
      <c r="E381" s="13" t="s">
        <v>68</v>
      </c>
      <c r="F381" s="13"/>
      <c r="G381" s="13"/>
      <c r="H381" s="14"/>
      <c r="I381" s="13"/>
      <c r="J381" s="13"/>
      <c r="K381" s="13" t="str">
        <f t="shared" si="14"/>
        <v>https://en.wikipedia.org/wiki/Paterson,_New_Jersey</v>
      </c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</row>
    <row r="382" spans="1:47" ht="16" customHeight="1" x14ac:dyDescent="0.2">
      <c r="A382" s="15" t="s">
        <v>1187</v>
      </c>
      <c r="B382" s="15" t="s">
        <v>346</v>
      </c>
      <c r="C382" s="15" t="s">
        <v>1188</v>
      </c>
      <c r="D382" s="15" t="s">
        <v>80</v>
      </c>
      <c r="E382" s="15" t="s">
        <v>72</v>
      </c>
      <c r="F382" s="15">
        <v>189</v>
      </c>
      <c r="G382" t="s">
        <v>1189</v>
      </c>
      <c r="H382" s="16">
        <v>45396</v>
      </c>
      <c r="I382" s="15" t="s">
        <v>1189</v>
      </c>
      <c r="J382" s="15" t="s">
        <v>2022</v>
      </c>
      <c r="K382" s="13" t="str">
        <f t="shared" si="14"/>
        <v>https://en.wikipedia.org/wiki/Paulsboro,_New_Jersey</v>
      </c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</row>
    <row r="383" spans="1:47" ht="16" customHeight="1" x14ac:dyDescent="0.2">
      <c r="A383" s="13" t="s">
        <v>1190</v>
      </c>
      <c r="B383" s="13" t="s">
        <v>175</v>
      </c>
      <c r="C383" s="13" t="s">
        <v>1191</v>
      </c>
      <c r="D383" s="13" t="s">
        <v>80</v>
      </c>
      <c r="E383" s="13" t="s">
        <v>68</v>
      </c>
      <c r="F383" s="13"/>
      <c r="G383" s="13"/>
      <c r="H383" s="14"/>
      <c r="I383" s="13"/>
      <c r="J383" s="13"/>
      <c r="K383" s="13" t="str">
        <f t="shared" si="14"/>
        <v>https://en.wikipedia.org/wiki/Peapack_and_Gladstone,_New_Jersey</v>
      </c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</row>
    <row r="384" spans="1:47" ht="16" customHeight="1" x14ac:dyDescent="0.2">
      <c r="A384" s="15" t="s">
        <v>1192</v>
      </c>
      <c r="B384" s="15" t="s">
        <v>150</v>
      </c>
      <c r="C384" s="15" t="s">
        <v>1193</v>
      </c>
      <c r="D384" s="15" t="s">
        <v>80</v>
      </c>
      <c r="E384" s="15" t="s">
        <v>72</v>
      </c>
      <c r="F384" s="15">
        <v>144</v>
      </c>
      <c r="G384" t="s">
        <v>1194</v>
      </c>
      <c r="H384" s="16">
        <v>45254</v>
      </c>
      <c r="I384" s="15"/>
      <c r="J384" s="15"/>
      <c r="K384" s="13" t="str">
        <f t="shared" si="14"/>
        <v>https://en.wikipedia.org/wiki/Pemberton,_New_Jersey</v>
      </c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</row>
    <row r="385" spans="1:47" ht="16" customHeight="1" x14ac:dyDescent="0.2">
      <c r="A385" s="13" t="s">
        <v>1192</v>
      </c>
      <c r="B385" s="13" t="s">
        <v>150</v>
      </c>
      <c r="C385" s="13" t="s">
        <v>1195</v>
      </c>
      <c r="D385" s="13" t="s">
        <v>61</v>
      </c>
      <c r="E385" s="13" t="s">
        <v>68</v>
      </c>
      <c r="F385" s="13"/>
      <c r="G385" s="13"/>
      <c r="H385" s="14"/>
      <c r="I385" s="13"/>
      <c r="J385" s="13"/>
      <c r="K385" s="13" t="str">
        <f t="shared" si="14"/>
        <v>https://en.wikipedia.org/wiki/Pemberton_Township,_New_Jersey</v>
      </c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</row>
    <row r="386" spans="1:47" ht="16" customHeight="1" x14ac:dyDescent="0.2">
      <c r="A386" s="15" t="s">
        <v>1196</v>
      </c>
      <c r="B386" s="15" t="s">
        <v>462</v>
      </c>
      <c r="C386" s="15" t="s">
        <v>1197</v>
      </c>
      <c r="D386" s="15" t="s">
        <v>80</v>
      </c>
      <c r="E386" s="15" t="s">
        <v>72</v>
      </c>
      <c r="F386" s="15">
        <v>152</v>
      </c>
      <c r="G386" s="15" t="s">
        <v>1198</v>
      </c>
      <c r="H386" s="16">
        <v>45268</v>
      </c>
      <c r="I386" s="15" t="s">
        <v>2023</v>
      </c>
      <c r="J386" s="15" t="s">
        <v>2024</v>
      </c>
      <c r="K386" s="13" t="str">
        <f t="shared" si="14"/>
        <v>https://en.wikipedia.org/wiki/Pennington,_New_Jersey</v>
      </c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</row>
    <row r="387" spans="1:47" ht="16" customHeight="1" x14ac:dyDescent="0.2">
      <c r="A387" s="13" t="s">
        <v>1199</v>
      </c>
      <c r="B387" s="13" t="s">
        <v>96</v>
      </c>
      <c r="C387" s="13" t="s">
        <v>1200</v>
      </c>
      <c r="D387" s="13" t="s">
        <v>80</v>
      </c>
      <c r="E387" s="13" t="s">
        <v>72</v>
      </c>
      <c r="F387" s="13">
        <v>210</v>
      </c>
      <c r="G387" t="s">
        <v>1201</v>
      </c>
      <c r="H387" s="14">
        <v>45478</v>
      </c>
      <c r="I387" s="13"/>
      <c r="J387" s="13"/>
      <c r="K387" s="13" t="str">
        <f t="shared" si="14"/>
        <v>https://en.wikipedia.org/wiki/Penns_Grove,_New_Jersey</v>
      </c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</row>
    <row r="388" spans="1:47" ht="16" customHeight="1" x14ac:dyDescent="0.2">
      <c r="A388" s="15" t="s">
        <v>1202</v>
      </c>
      <c r="B388" s="15" t="s">
        <v>123</v>
      </c>
      <c r="C388" s="15" t="s">
        <v>1203</v>
      </c>
      <c r="D388" s="15" t="s">
        <v>61</v>
      </c>
      <c r="E388" s="15" t="s">
        <v>68</v>
      </c>
      <c r="F388" s="15"/>
      <c r="G388" s="15"/>
      <c r="H388" s="16"/>
      <c r="I388" s="15"/>
      <c r="J388" s="15"/>
      <c r="K388" s="13" t="str">
        <f t="shared" si="14"/>
        <v>https://en.wikipedia.org/wiki/Pennsauken_Township,_New_Jersey</v>
      </c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</row>
    <row r="389" spans="1:47" ht="16" customHeight="1" x14ac:dyDescent="0.2">
      <c r="A389" s="13" t="s">
        <v>1204</v>
      </c>
      <c r="B389" s="13" t="s">
        <v>96</v>
      </c>
      <c r="C389" s="13" t="s">
        <v>1205</v>
      </c>
      <c r="D389" s="13" t="s">
        <v>61</v>
      </c>
      <c r="E389" s="13" t="s">
        <v>72</v>
      </c>
      <c r="F389" s="13">
        <v>211</v>
      </c>
      <c r="G389" t="s">
        <v>1206</v>
      </c>
      <c r="H389" s="14">
        <v>45480</v>
      </c>
      <c r="I389" s="13" t="s">
        <v>1206</v>
      </c>
      <c r="J389" s="13" t="s">
        <v>2025</v>
      </c>
      <c r="K389" s="13" t="str">
        <f t="shared" si="14"/>
        <v>https://en.wikipedia.org/wiki/Pennsville_Township,_New_Jersey</v>
      </c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</row>
    <row r="390" spans="1:47" ht="16" customHeight="1" x14ac:dyDescent="0.2">
      <c r="A390" s="15" t="s">
        <v>1207</v>
      </c>
      <c r="B390" s="15" t="s">
        <v>236</v>
      </c>
      <c r="C390" s="15" t="s">
        <v>1208</v>
      </c>
      <c r="D390" s="15" t="s">
        <v>61</v>
      </c>
      <c r="E390" s="15" t="s">
        <v>68</v>
      </c>
      <c r="F390" s="15"/>
      <c r="G390" s="15"/>
      <c r="H390" s="16"/>
      <c r="I390" s="15"/>
      <c r="J390" s="15"/>
      <c r="K390" s="13" t="str">
        <f t="shared" si="14"/>
        <v>https://en.wikipedia.org/wiki/Pequannock_Township,_New_Jersey</v>
      </c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</row>
    <row r="391" spans="1:47" ht="16" customHeight="1" x14ac:dyDescent="0.2">
      <c r="A391" s="13" t="s">
        <v>1209</v>
      </c>
      <c r="B391" s="13" t="s">
        <v>314</v>
      </c>
      <c r="C391" s="13" t="s">
        <v>1210</v>
      </c>
      <c r="D391" s="13" t="s">
        <v>67</v>
      </c>
      <c r="E391" s="13" t="s">
        <v>72</v>
      </c>
      <c r="F391" s="13">
        <v>216</v>
      </c>
      <c r="G391" s="13" t="s">
        <v>1211</v>
      </c>
      <c r="H391" s="14">
        <v>45501</v>
      </c>
      <c r="I391" s="13" t="s">
        <v>2043</v>
      </c>
      <c r="J391" s="13" t="s">
        <v>2044</v>
      </c>
      <c r="K391" s="13" t="str">
        <f t="shared" si="14"/>
        <v>https://en.wikipedia.org/wiki/Perth_Amboy,_New_Jersey</v>
      </c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</row>
    <row r="392" spans="1:47" ht="16" customHeight="1" x14ac:dyDescent="0.2">
      <c r="A392" s="15" t="s">
        <v>1212</v>
      </c>
      <c r="B392" s="15" t="s">
        <v>75</v>
      </c>
      <c r="C392" s="15" t="s">
        <v>1213</v>
      </c>
      <c r="D392" s="15" t="s">
        <v>189</v>
      </c>
      <c r="E392" s="15" t="s">
        <v>72</v>
      </c>
      <c r="F392" s="15">
        <v>142</v>
      </c>
      <c r="G392" s="15" t="s">
        <v>1214</v>
      </c>
      <c r="H392" s="16">
        <v>45248</v>
      </c>
      <c r="I392" s="15" t="s">
        <v>1214</v>
      </c>
      <c r="J392" s="15" t="s">
        <v>2026</v>
      </c>
      <c r="K392" s="13" t="str">
        <f t="shared" si="14"/>
        <v>https://en.wikipedia.org/wiki/Phillipsburg,_New_Jersey</v>
      </c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</row>
    <row r="393" spans="1:47" ht="16" customHeight="1" x14ac:dyDescent="0.2">
      <c r="A393" s="13" t="s">
        <v>1215</v>
      </c>
      <c r="B393" s="13" t="s">
        <v>96</v>
      </c>
      <c r="C393" s="13" t="s">
        <v>1216</v>
      </c>
      <c r="D393" s="13" t="s">
        <v>61</v>
      </c>
      <c r="E393" s="13" t="s">
        <v>72</v>
      </c>
      <c r="F393" s="13">
        <v>220</v>
      </c>
      <c r="G393" t="s">
        <v>1217</v>
      </c>
      <c r="H393" s="14">
        <v>45521</v>
      </c>
      <c r="I393" s="13" t="s">
        <v>1217</v>
      </c>
      <c r="J393" s="13" t="s">
        <v>2045</v>
      </c>
      <c r="K393" s="13" t="str">
        <f t="shared" si="14"/>
        <v>https://en.wikipedia.org/wiki/Pilesgrove_Township,_New_Jersey</v>
      </c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</row>
    <row r="394" spans="1:47" ht="16" customHeight="1" x14ac:dyDescent="0.2">
      <c r="A394" s="15" t="s">
        <v>1218</v>
      </c>
      <c r="B394" s="15" t="s">
        <v>139</v>
      </c>
      <c r="C394" s="15" t="s">
        <v>1219</v>
      </c>
      <c r="D394" s="15" t="s">
        <v>80</v>
      </c>
      <c r="E394" s="15" t="s">
        <v>83</v>
      </c>
      <c r="F394" s="15">
        <v>125</v>
      </c>
      <c r="G394" t="s">
        <v>1220</v>
      </c>
      <c r="H394" s="16">
        <v>45214</v>
      </c>
      <c r="I394" s="15"/>
      <c r="J394" s="15"/>
      <c r="K394" s="13" t="str">
        <f t="shared" si="14"/>
        <v>https://en.wikipedia.org/wiki/Pine_Beach,_New_Jersey</v>
      </c>
      <c r="L394" s="15" t="s">
        <v>1221</v>
      </c>
      <c r="M394" s="15" t="s">
        <v>1222</v>
      </c>
      <c r="N394" s="15" t="s">
        <v>1223</v>
      </c>
      <c r="O394" s="15" t="s">
        <v>1223</v>
      </c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 t="s">
        <v>1221</v>
      </c>
      <c r="AG394" s="15" t="s">
        <v>1224</v>
      </c>
      <c r="AH394" s="15" t="s">
        <v>1223</v>
      </c>
      <c r="AI394" s="15" t="s">
        <v>1225</v>
      </c>
      <c r="AJ394" s="15"/>
      <c r="AK394" s="15"/>
      <c r="AL394" s="15" t="s">
        <v>1226</v>
      </c>
      <c r="AM394" s="15" t="s">
        <v>1222</v>
      </c>
      <c r="AN394" s="15"/>
      <c r="AO394" s="15"/>
      <c r="AP394" s="15" t="s">
        <v>1227</v>
      </c>
      <c r="AQ394" s="15" t="s">
        <v>1228</v>
      </c>
      <c r="AR394" s="15"/>
      <c r="AS394" s="15"/>
      <c r="AT394" s="15"/>
      <c r="AU394" s="15"/>
    </row>
    <row r="395" spans="1:47" ht="16" customHeight="1" x14ac:dyDescent="0.2">
      <c r="A395" s="13" t="s">
        <v>1229</v>
      </c>
      <c r="B395" s="13" t="s">
        <v>123</v>
      </c>
      <c r="C395" s="13" t="s">
        <v>1230</v>
      </c>
      <c r="D395" s="13" t="s">
        <v>80</v>
      </c>
      <c r="E395" s="13" t="s">
        <v>68</v>
      </c>
      <c r="F395" s="13"/>
      <c r="G395" s="13"/>
      <c r="H395" s="14"/>
      <c r="I395" s="13"/>
      <c r="J395" s="13"/>
      <c r="K395" s="13" t="str">
        <f t="shared" si="14"/>
        <v>https://en.wikipedia.org/wiki/Pine_Hill,_New_Jersey</v>
      </c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</row>
    <row r="396" spans="1:47" ht="16" customHeight="1" x14ac:dyDescent="0.2">
      <c r="A396" s="15" t="s">
        <v>1231</v>
      </c>
      <c r="B396" s="15" t="s">
        <v>314</v>
      </c>
      <c r="C396" s="15" t="s">
        <v>1232</v>
      </c>
      <c r="D396" s="15" t="s">
        <v>61</v>
      </c>
      <c r="E396" s="15" t="s">
        <v>62</v>
      </c>
      <c r="F396" s="15"/>
      <c r="G396" s="15" t="s">
        <v>1233</v>
      </c>
      <c r="H396" s="16">
        <v>43288</v>
      </c>
      <c r="I396" s="15"/>
      <c r="J396" s="15"/>
      <c r="K396" s="13" t="str">
        <f t="shared" si="14"/>
        <v>https://en.wikipedia.org/wiki/Piscataway_Township,_New_Jersey</v>
      </c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</row>
    <row r="397" spans="1:47" ht="16" customHeight="1" x14ac:dyDescent="0.2">
      <c r="A397" s="13" t="s">
        <v>1234</v>
      </c>
      <c r="B397" s="13" t="s">
        <v>346</v>
      </c>
      <c r="C397" s="13" t="s">
        <v>1235</v>
      </c>
      <c r="D397" s="13" t="s">
        <v>80</v>
      </c>
      <c r="E397" s="13" t="s">
        <v>68</v>
      </c>
      <c r="F397" s="13"/>
      <c r="G397" s="13"/>
      <c r="H397" s="14"/>
      <c r="I397" s="13"/>
      <c r="J397" s="13"/>
      <c r="K397" s="13" t="str">
        <f t="shared" si="14"/>
        <v>https://en.wikipedia.org/wiki/Pitman,_New_Jersey</v>
      </c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</row>
    <row r="398" spans="1:47" ht="16" customHeight="1" x14ac:dyDescent="0.2">
      <c r="A398" s="15" t="s">
        <v>1236</v>
      </c>
      <c r="B398" s="15" t="s">
        <v>96</v>
      </c>
      <c r="C398" s="15" t="s">
        <v>1237</v>
      </c>
      <c r="D398" s="15" t="s">
        <v>61</v>
      </c>
      <c r="E398" s="15" t="s">
        <v>68</v>
      </c>
      <c r="F398" s="15"/>
      <c r="G398" s="15"/>
      <c r="H398" s="16"/>
      <c r="I398" s="15"/>
      <c r="J398" s="15"/>
      <c r="K398" s="13" t="str">
        <f t="shared" si="14"/>
        <v>https://en.wikipedia.org/wiki/Pittsgrove_Township,_New_Jersey</v>
      </c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</row>
    <row r="399" spans="1:47" ht="16" customHeight="1" x14ac:dyDescent="0.2">
      <c r="A399" s="13" t="s">
        <v>1238</v>
      </c>
      <c r="B399" s="13" t="s">
        <v>197</v>
      </c>
      <c r="C399" s="13" t="s">
        <v>1239</v>
      </c>
      <c r="D399" s="13" t="s">
        <v>67</v>
      </c>
      <c r="E399" s="13" t="s">
        <v>68</v>
      </c>
      <c r="F399" s="13"/>
      <c r="G399" s="13"/>
      <c r="H399" s="14"/>
      <c r="I399" s="13"/>
      <c r="J399" s="13"/>
      <c r="K399" s="13" t="str">
        <f t="shared" si="14"/>
        <v>https://en.wikipedia.org/wiki/Plainfield,_New_Jersey</v>
      </c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</row>
    <row r="400" spans="1:47" ht="16" customHeight="1" x14ac:dyDescent="0.2">
      <c r="A400" s="15" t="s">
        <v>1240</v>
      </c>
      <c r="B400" s="15" t="s">
        <v>314</v>
      </c>
      <c r="C400" s="15" t="s">
        <v>1241</v>
      </c>
      <c r="D400" s="15" t="s">
        <v>61</v>
      </c>
      <c r="E400" s="15" t="s">
        <v>62</v>
      </c>
      <c r="F400" s="15"/>
      <c r="G400" s="15" t="s">
        <v>1242</v>
      </c>
      <c r="H400" s="16">
        <v>43484</v>
      </c>
      <c r="I400" s="15"/>
      <c r="J400" s="15"/>
      <c r="K400" s="13" t="str">
        <f t="shared" si="14"/>
        <v>https://en.wikipedia.org/wiki/Plainsboro_Township,_New_Jersey</v>
      </c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</row>
    <row r="401" spans="1:47" ht="16" customHeight="1" x14ac:dyDescent="0.2">
      <c r="A401" s="13" t="s">
        <v>1243</v>
      </c>
      <c r="B401" s="13" t="s">
        <v>65</v>
      </c>
      <c r="C401" s="13" t="s">
        <v>1244</v>
      </c>
      <c r="D401" s="13" t="s">
        <v>67</v>
      </c>
      <c r="E401" s="13" t="s">
        <v>68</v>
      </c>
      <c r="F401" s="13"/>
      <c r="G401" s="13"/>
      <c r="H401" s="14"/>
      <c r="I401" s="13"/>
      <c r="J401" s="13"/>
      <c r="K401" s="13" t="str">
        <f t="shared" si="14"/>
        <v>https://en.wikipedia.org/wiki/Pleasantville,_New_Jersey</v>
      </c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</row>
    <row r="402" spans="1:47" ht="16" customHeight="1" x14ac:dyDescent="0.2">
      <c r="A402" s="15" t="s">
        <v>1245</v>
      </c>
      <c r="B402" s="15" t="s">
        <v>139</v>
      </c>
      <c r="C402" s="15" t="s">
        <v>1246</v>
      </c>
      <c r="D402" s="15" t="s">
        <v>61</v>
      </c>
      <c r="E402" s="15" t="s">
        <v>62</v>
      </c>
      <c r="F402" s="15"/>
      <c r="G402" t="s">
        <v>1247</v>
      </c>
      <c r="H402" s="16">
        <v>41938</v>
      </c>
      <c r="I402" s="15" t="s">
        <v>1247</v>
      </c>
      <c r="J402" s="15" t="s">
        <v>2031</v>
      </c>
      <c r="K402" s="13" t="str">
        <f t="shared" si="14"/>
        <v>https://en.wikipedia.org/wiki/Plumsted_Township,_New_Jersey</v>
      </c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</row>
    <row r="403" spans="1:47" ht="16" customHeight="1" x14ac:dyDescent="0.2">
      <c r="A403" s="13" t="s">
        <v>1248</v>
      </c>
      <c r="B403" s="13" t="s">
        <v>75</v>
      </c>
      <c r="C403" s="13" t="s">
        <v>1249</v>
      </c>
      <c r="D403" s="13" t="s">
        <v>61</v>
      </c>
      <c r="E403" s="13" t="s">
        <v>72</v>
      </c>
      <c r="F403" s="13">
        <v>141</v>
      </c>
      <c r="G403" s="13" t="s">
        <v>1250</v>
      </c>
      <c r="H403" s="14">
        <v>45248</v>
      </c>
      <c r="I403" s="13"/>
      <c r="J403" s="13"/>
      <c r="K403" s="13" t="str">
        <f t="shared" si="14"/>
        <v>https://en.wikipedia.org/wiki/Pohatcong_Township,_New_Jersey</v>
      </c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</row>
    <row r="404" spans="1:47" ht="16" customHeight="1" x14ac:dyDescent="0.2">
      <c r="A404" s="15" t="s">
        <v>1251</v>
      </c>
      <c r="B404" s="15" t="s">
        <v>139</v>
      </c>
      <c r="C404" s="15" t="s">
        <v>1252</v>
      </c>
      <c r="D404" s="15" t="s">
        <v>80</v>
      </c>
      <c r="E404" s="15" t="s">
        <v>83</v>
      </c>
      <c r="F404" s="15">
        <v>101</v>
      </c>
      <c r="G404" t="s">
        <v>1253</v>
      </c>
      <c r="H404" s="16">
        <v>45150</v>
      </c>
      <c r="I404" s="15" t="s">
        <v>1253</v>
      </c>
      <c r="J404" s="15" t="s">
        <v>2027</v>
      </c>
      <c r="K404" s="13" t="str">
        <f t="shared" si="14"/>
        <v>https://en.wikipedia.org/wiki/Point_Pleasant,_New_Jersey</v>
      </c>
      <c r="L404" s="15" t="s">
        <v>1254</v>
      </c>
      <c r="M404" s="15" t="s">
        <v>1255</v>
      </c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 t="s">
        <v>1254</v>
      </c>
      <c r="AG404" s="15" t="s">
        <v>1256</v>
      </c>
      <c r="AH404" s="15"/>
      <c r="AI404" s="15"/>
      <c r="AJ404" s="15"/>
      <c r="AK404" s="15"/>
      <c r="AL404" s="15" t="s">
        <v>1257</v>
      </c>
      <c r="AM404" s="15" t="s">
        <v>1255</v>
      </c>
      <c r="AN404" s="15"/>
      <c r="AO404" s="15"/>
      <c r="AP404" s="15"/>
      <c r="AQ404" s="15"/>
      <c r="AR404" s="15"/>
      <c r="AS404" s="15"/>
      <c r="AT404" s="15"/>
      <c r="AU404" s="15"/>
    </row>
    <row r="405" spans="1:47" ht="16" customHeight="1" x14ac:dyDescent="0.2">
      <c r="A405" s="13" t="s">
        <v>1258</v>
      </c>
      <c r="B405" s="13" t="s">
        <v>139</v>
      </c>
      <c r="C405" s="13" t="s">
        <v>1259</v>
      </c>
      <c r="D405" s="13" t="s">
        <v>80</v>
      </c>
      <c r="E405" s="13" t="s">
        <v>62</v>
      </c>
      <c r="F405" s="13"/>
      <c r="G405" t="s">
        <v>1260</v>
      </c>
      <c r="H405" s="14">
        <v>43001</v>
      </c>
      <c r="I405" s="13" t="s">
        <v>1260</v>
      </c>
      <c r="J405" s="13" t="s">
        <v>2028</v>
      </c>
      <c r="K405" s="13" t="str">
        <f t="shared" si="14"/>
        <v>https://en.wikipedia.org/wiki/Point_Pleasant_Beach,_New_Jersey</v>
      </c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</row>
    <row r="406" spans="1:47" ht="16" customHeight="1" x14ac:dyDescent="0.2">
      <c r="A406" s="15" t="s">
        <v>1261</v>
      </c>
      <c r="B406" s="15" t="s">
        <v>229</v>
      </c>
      <c r="C406" s="15" t="s">
        <v>1262</v>
      </c>
      <c r="D406" s="15" t="s">
        <v>80</v>
      </c>
      <c r="E406" s="15" t="s">
        <v>68</v>
      </c>
      <c r="F406" s="15"/>
      <c r="G406" s="15"/>
      <c r="H406" s="16"/>
      <c r="I406" s="15"/>
      <c r="J406" s="15"/>
      <c r="K406" s="13" t="str">
        <f t="shared" si="14"/>
        <v>https://en.wikipedia.org/wiki/Pompton_Lakes,_New_Jersey</v>
      </c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</row>
    <row r="407" spans="1:47" ht="16" customHeight="1" x14ac:dyDescent="0.2">
      <c r="A407" s="13" t="s">
        <v>1263</v>
      </c>
      <c r="B407" s="13" t="s">
        <v>65</v>
      </c>
      <c r="C407" s="13" t="s">
        <v>1264</v>
      </c>
      <c r="D407" s="13" t="s">
        <v>67</v>
      </c>
      <c r="E407" s="13" t="s">
        <v>68</v>
      </c>
      <c r="F407" s="13"/>
      <c r="G407" s="13"/>
      <c r="H407" s="14"/>
      <c r="I407" s="13"/>
      <c r="J407" s="13"/>
      <c r="K407" s="13" t="str">
        <f t="shared" si="14"/>
        <v>https://en.wikipedia.org/wiki/Port_Republic,_New_Jersey</v>
      </c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</row>
    <row r="408" spans="1:47" ht="16" customHeight="1" x14ac:dyDescent="0.2">
      <c r="A408" s="15" t="s">
        <v>1265</v>
      </c>
      <c r="B408" s="15" t="s">
        <v>462</v>
      </c>
      <c r="C408" s="15" t="s">
        <v>1266</v>
      </c>
      <c r="D408" s="15"/>
      <c r="E408" s="15" t="s">
        <v>62</v>
      </c>
      <c r="F408" s="15"/>
      <c r="G408" s="15" t="s">
        <v>1267</v>
      </c>
      <c r="H408" s="16">
        <v>43281</v>
      </c>
      <c r="I408" s="15" t="s">
        <v>1267</v>
      </c>
      <c r="J408" s="15" t="s">
        <v>2029</v>
      </c>
      <c r="K408" s="13" t="str">
        <f t="shared" si="14"/>
        <v>https://en.wikipedia.org/wiki/Princeton,_New_Jersey</v>
      </c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</row>
    <row r="409" spans="1:47" ht="16" customHeight="1" x14ac:dyDescent="0.2">
      <c r="A409" s="13" t="s">
        <v>1268</v>
      </c>
      <c r="B409" s="13" t="s">
        <v>229</v>
      </c>
      <c r="C409" s="13" t="s">
        <v>1269</v>
      </c>
      <c r="D409" s="13" t="s">
        <v>80</v>
      </c>
      <c r="E409" s="13" t="s">
        <v>68</v>
      </c>
      <c r="F409" s="13"/>
      <c r="G409" s="13"/>
      <c r="H409" s="14"/>
      <c r="I409" s="13"/>
      <c r="J409" s="13"/>
      <c r="K409" s="13" t="str">
        <f t="shared" si="14"/>
        <v>https://en.wikipedia.org/wiki/Prospect_Park,_New_Jersey</v>
      </c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</row>
    <row r="410" spans="1:47" ht="16" customHeight="1" x14ac:dyDescent="0.2">
      <c r="A410" s="15" t="s">
        <v>1270</v>
      </c>
      <c r="B410" s="15" t="s">
        <v>96</v>
      </c>
      <c r="C410" s="15" t="s">
        <v>1271</v>
      </c>
      <c r="D410" s="15" t="s">
        <v>61</v>
      </c>
      <c r="E410" s="15" t="s">
        <v>72</v>
      </c>
      <c r="F410" s="15">
        <v>183</v>
      </c>
      <c r="G410" t="s">
        <v>1272</v>
      </c>
      <c r="H410" s="16">
        <v>45388</v>
      </c>
      <c r="I410" s="15" t="s">
        <v>1272</v>
      </c>
      <c r="J410" s="15" t="s">
        <v>2046</v>
      </c>
      <c r="K410" s="13" t="str">
        <f t="shared" si="14"/>
        <v>https://en.wikipedia.org/wiki/Quinton_Township,_New_Jersey</v>
      </c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</row>
    <row r="411" spans="1:47" ht="16" customHeight="1" x14ac:dyDescent="0.2">
      <c r="A411" s="13" t="s">
        <v>1273</v>
      </c>
      <c r="B411" s="13" t="s">
        <v>197</v>
      </c>
      <c r="C411" s="13" t="s">
        <v>1274</v>
      </c>
      <c r="D411" s="13" t="s">
        <v>67</v>
      </c>
      <c r="E411" s="13" t="s">
        <v>68</v>
      </c>
      <c r="F411" s="13"/>
      <c r="G411" s="13"/>
      <c r="H411" s="14"/>
      <c r="I411" s="13"/>
      <c r="J411" s="13"/>
      <c r="K411" s="13" t="str">
        <f t="shared" si="14"/>
        <v>https://en.wikipedia.org/wiki/Rahway,_New_Jersey</v>
      </c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</row>
    <row r="412" spans="1:47" ht="16" customHeight="1" x14ac:dyDescent="0.2">
      <c r="A412" s="15" t="s">
        <v>1275</v>
      </c>
      <c r="B412" s="15" t="s">
        <v>78</v>
      </c>
      <c r="C412" s="15" t="s">
        <v>1276</v>
      </c>
      <c r="D412" s="15" t="s">
        <v>80</v>
      </c>
      <c r="E412" s="15" t="s">
        <v>72</v>
      </c>
      <c r="F412" s="15">
        <v>214</v>
      </c>
      <c r="G412" s="15" t="s">
        <v>1277</v>
      </c>
      <c r="H412" s="67" t="s">
        <v>1278</v>
      </c>
      <c r="I412" s="15" t="s">
        <v>1277</v>
      </c>
      <c r="J412" s="15" t="s">
        <v>2030</v>
      </c>
      <c r="K412" s="13" t="str">
        <f t="shared" si="14"/>
        <v>https://en.wikipedia.org/wiki/Ramsey,_New_Jersey</v>
      </c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</row>
    <row r="413" spans="1:47" ht="16" customHeight="1" x14ac:dyDescent="0.2">
      <c r="A413" s="13" t="s">
        <v>1279</v>
      </c>
      <c r="B413" s="13" t="s">
        <v>236</v>
      </c>
      <c r="C413" s="13" t="s">
        <v>1280</v>
      </c>
      <c r="D413" s="13" t="s">
        <v>61</v>
      </c>
      <c r="E413" s="13" t="s">
        <v>68</v>
      </c>
      <c r="F413" s="13"/>
      <c r="G413" s="13"/>
      <c r="H413" s="14"/>
      <c r="I413" s="13"/>
      <c r="J413" s="13"/>
      <c r="K413" s="13" t="str">
        <f t="shared" si="14"/>
        <v>https://en.wikipedia.org/wiki/Randolph_Township,_New_Jersey</v>
      </c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</row>
    <row r="414" spans="1:47" ht="16" customHeight="1" x14ac:dyDescent="0.2">
      <c r="A414" s="15" t="s">
        <v>1281</v>
      </c>
      <c r="B414" s="15" t="s">
        <v>70</v>
      </c>
      <c r="C414" s="15" t="s">
        <v>1282</v>
      </c>
      <c r="D414" s="15" t="s">
        <v>61</v>
      </c>
      <c r="E414" s="15" t="s">
        <v>83</v>
      </c>
      <c r="F414" s="15">
        <v>106</v>
      </c>
      <c r="G414" s="15" t="s">
        <v>1283</v>
      </c>
      <c r="H414" s="16">
        <v>45157</v>
      </c>
      <c r="I414" s="15" t="s">
        <v>2032</v>
      </c>
      <c r="J414" s="15" t="s">
        <v>2033</v>
      </c>
      <c r="K414" s="13" t="s">
        <v>1284</v>
      </c>
      <c r="L414" s="15" t="s">
        <v>1285</v>
      </c>
      <c r="M414" s="15" t="s">
        <v>1286</v>
      </c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 t="s">
        <v>1285</v>
      </c>
      <c r="AG414" s="15" t="s">
        <v>1287</v>
      </c>
      <c r="AH414" s="15"/>
      <c r="AI414" s="15"/>
      <c r="AJ414" s="15"/>
      <c r="AK414" s="15"/>
      <c r="AL414" s="15" t="s">
        <v>1288</v>
      </c>
      <c r="AM414" s="15" t="s">
        <v>1286</v>
      </c>
      <c r="AN414" s="15"/>
      <c r="AO414" s="15"/>
      <c r="AP414" s="15"/>
      <c r="AQ414" s="15"/>
      <c r="AR414" s="15"/>
      <c r="AS414" s="15"/>
      <c r="AT414" s="15"/>
      <c r="AU414" s="15"/>
    </row>
    <row r="415" spans="1:47" ht="16" customHeight="1" x14ac:dyDescent="0.2">
      <c r="A415" s="13" t="s">
        <v>1281</v>
      </c>
      <c r="B415" s="13" t="s">
        <v>175</v>
      </c>
      <c r="C415" s="13" t="s">
        <v>1289</v>
      </c>
      <c r="D415" s="13" t="s">
        <v>80</v>
      </c>
      <c r="E415" s="13" t="s">
        <v>72</v>
      </c>
      <c r="F415" s="13">
        <v>168</v>
      </c>
      <c r="G415" s="13" t="s">
        <v>1290</v>
      </c>
      <c r="H415" s="14">
        <v>45311</v>
      </c>
      <c r="I415" s="13" t="s">
        <v>1299</v>
      </c>
      <c r="J415" s="13" t="s">
        <v>2034</v>
      </c>
      <c r="K415" s="13" t="s">
        <v>1291</v>
      </c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</row>
    <row r="416" spans="1:47" ht="16" customHeight="1" x14ac:dyDescent="0.2">
      <c r="A416" s="15" t="s">
        <v>1292</v>
      </c>
      <c r="B416" s="15" t="s">
        <v>70</v>
      </c>
      <c r="C416" s="15" t="s">
        <v>1293</v>
      </c>
      <c r="D416" s="15" t="s">
        <v>61</v>
      </c>
      <c r="E416" s="15" t="s">
        <v>72</v>
      </c>
      <c r="F416" s="15">
        <v>273</v>
      </c>
      <c r="G416" s="15" t="s">
        <v>1294</v>
      </c>
      <c r="H416" s="16">
        <v>45809</v>
      </c>
      <c r="I416" s="15" t="s">
        <v>1295</v>
      </c>
      <c r="J416" s="15" t="s">
        <v>1296</v>
      </c>
      <c r="K416" s="13" t="str">
        <f t="shared" ref="K416:K447" si="15">IF(A416="","","https://en.wikipedia.org/wiki/"&amp;SUBSTITUTE(A416," ","_")&amp;IF(D416="township","_Township","")&amp;",_New_Jersey")</f>
        <v>https://en.wikipedia.org/wiki/Readington_Township,_New_Jersey</v>
      </c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</row>
    <row r="417" spans="1:47" ht="16" customHeight="1" x14ac:dyDescent="0.2">
      <c r="A417" s="13" t="s">
        <v>1297</v>
      </c>
      <c r="B417" s="13" t="s">
        <v>59</v>
      </c>
      <c r="C417" s="13" t="s">
        <v>1298</v>
      </c>
      <c r="D417" s="13" t="s">
        <v>80</v>
      </c>
      <c r="E417" s="13" t="s">
        <v>62</v>
      </c>
      <c r="F417" s="13"/>
      <c r="G417" s="13" t="s">
        <v>1299</v>
      </c>
      <c r="H417" s="14">
        <v>44487</v>
      </c>
      <c r="I417" s="13" t="s">
        <v>1299</v>
      </c>
      <c r="J417" s="13" t="s">
        <v>2034</v>
      </c>
      <c r="K417" s="13" t="str">
        <f t="shared" si="15"/>
        <v>https://en.wikipedia.org/wiki/Red_Bank,_New_Jersey</v>
      </c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</row>
    <row r="418" spans="1:47" ht="16" customHeight="1" x14ac:dyDescent="0.2">
      <c r="A418" s="15" t="s">
        <v>1300</v>
      </c>
      <c r="B418" s="15" t="s">
        <v>78</v>
      </c>
      <c r="C418" s="15" t="s">
        <v>1301</v>
      </c>
      <c r="D418" s="15" t="s">
        <v>80</v>
      </c>
      <c r="E418" s="15" t="s">
        <v>68</v>
      </c>
      <c r="F418" s="15"/>
      <c r="G418" s="15"/>
      <c r="H418" s="16"/>
      <c r="I418" s="15"/>
      <c r="J418" s="15"/>
      <c r="K418" s="13" t="str">
        <f t="shared" si="15"/>
        <v>https://en.wikipedia.org/wiki/Ridgefield,_New_Jersey</v>
      </c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</row>
    <row r="419" spans="1:47" ht="16" customHeight="1" x14ac:dyDescent="0.2">
      <c r="A419" s="13" t="s">
        <v>1302</v>
      </c>
      <c r="B419" s="13" t="s">
        <v>78</v>
      </c>
      <c r="C419" s="13" t="s">
        <v>1303</v>
      </c>
      <c r="D419" s="13" t="s">
        <v>881</v>
      </c>
      <c r="E419" s="13" t="s">
        <v>68</v>
      </c>
      <c r="F419" s="13"/>
      <c r="G419" s="13"/>
      <c r="H419" s="14"/>
      <c r="I419" s="13"/>
      <c r="J419" s="13"/>
      <c r="K419" s="13" t="str">
        <f t="shared" si="15"/>
        <v>https://en.wikipedia.org/wiki/Ridgefield_Park,_New_Jersey</v>
      </c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</row>
    <row r="420" spans="1:47" ht="16" customHeight="1" x14ac:dyDescent="0.2">
      <c r="A420" s="15" t="s">
        <v>1304</v>
      </c>
      <c r="B420" s="15" t="s">
        <v>78</v>
      </c>
      <c r="C420" s="15" t="s">
        <v>1305</v>
      </c>
      <c r="D420" s="15" t="s">
        <v>881</v>
      </c>
      <c r="E420" s="15" t="s">
        <v>68</v>
      </c>
      <c r="F420" s="15"/>
      <c r="G420" s="15"/>
      <c r="H420" s="16"/>
      <c r="I420" s="15"/>
      <c r="J420" s="15"/>
      <c r="K420" s="13" t="str">
        <f t="shared" si="15"/>
        <v>https://en.wikipedia.org/wiki/Ridgewood,_New_Jersey</v>
      </c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</row>
    <row r="421" spans="1:47" ht="16" customHeight="1" x14ac:dyDescent="0.2">
      <c r="A421" s="13" t="s">
        <v>1306</v>
      </c>
      <c r="B421" s="13" t="s">
        <v>229</v>
      </c>
      <c r="C421" s="13" t="s">
        <v>1307</v>
      </c>
      <c r="D421" s="13" t="s">
        <v>80</v>
      </c>
      <c r="E421" s="13" t="s">
        <v>72</v>
      </c>
      <c r="F421" s="13">
        <v>230</v>
      </c>
      <c r="G421" s="13" t="s">
        <v>1308</v>
      </c>
      <c r="H421" s="14">
        <v>45537</v>
      </c>
      <c r="I421" s="13" t="s">
        <v>1308</v>
      </c>
      <c r="J421" s="13" t="s">
        <v>2047</v>
      </c>
      <c r="K421" s="13" t="str">
        <f t="shared" si="15"/>
        <v>https://en.wikipedia.org/wiki/Ringwood,_New_Jersey</v>
      </c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</row>
    <row r="422" spans="1:47" ht="16" customHeight="1" x14ac:dyDescent="0.2">
      <c r="A422" s="15" t="s">
        <v>1309</v>
      </c>
      <c r="B422" s="15" t="s">
        <v>78</v>
      </c>
      <c r="C422" s="15" t="s">
        <v>1310</v>
      </c>
      <c r="D422" s="15" t="s">
        <v>80</v>
      </c>
      <c r="E422" s="15" t="s">
        <v>68</v>
      </c>
      <c r="F422" s="15"/>
      <c r="G422" s="15"/>
      <c r="H422" s="16"/>
      <c r="I422" s="15"/>
      <c r="J422" s="15"/>
      <c r="K422" s="13" t="str">
        <f t="shared" si="15"/>
        <v>https://en.wikipedia.org/wiki/River_Edge,_New_Jersey</v>
      </c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</row>
    <row r="423" spans="1:47" ht="16" customHeight="1" x14ac:dyDescent="0.2">
      <c r="A423" s="13" t="s">
        <v>1311</v>
      </c>
      <c r="B423" s="13" t="s">
        <v>78</v>
      </c>
      <c r="C423" s="13" t="s">
        <v>1312</v>
      </c>
      <c r="D423" s="13" t="s">
        <v>61</v>
      </c>
      <c r="E423" s="13" t="s">
        <v>68</v>
      </c>
      <c r="F423" s="13"/>
      <c r="G423" s="13"/>
      <c r="H423" s="14"/>
      <c r="I423" s="13"/>
      <c r="J423" s="13"/>
      <c r="K423" s="13" t="str">
        <f t="shared" si="15"/>
        <v>https://en.wikipedia.org/wiki/River_Vale_Township,_New_Jersey</v>
      </c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</row>
    <row r="424" spans="1:47" ht="16" customHeight="1" x14ac:dyDescent="0.2">
      <c r="A424" s="15" t="s">
        <v>1313</v>
      </c>
      <c r="B424" s="15" t="s">
        <v>236</v>
      </c>
      <c r="C424" s="15" t="s">
        <v>1314</v>
      </c>
      <c r="D424" s="15" t="s">
        <v>80</v>
      </c>
      <c r="E424" s="15" t="s">
        <v>68</v>
      </c>
      <c r="F424" s="15"/>
      <c r="G424" s="15"/>
      <c r="H424" s="16"/>
      <c r="I424" s="15"/>
      <c r="J424" s="15"/>
      <c r="K424" s="13" t="str">
        <f t="shared" si="15"/>
        <v>https://en.wikipedia.org/wiki/Riverdale,_New_Jersey</v>
      </c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</row>
    <row r="425" spans="1:47" ht="16" customHeight="1" x14ac:dyDescent="0.2">
      <c r="A425" s="13" t="s">
        <v>1315</v>
      </c>
      <c r="B425" s="13" t="s">
        <v>150</v>
      </c>
      <c r="C425" s="13" t="s">
        <v>1316</v>
      </c>
      <c r="D425" s="13" t="s">
        <v>61</v>
      </c>
      <c r="E425" s="13" t="s">
        <v>68</v>
      </c>
      <c r="F425" s="13"/>
      <c r="G425" s="13"/>
      <c r="H425" s="14"/>
      <c r="I425" s="13"/>
      <c r="J425" s="13"/>
      <c r="K425" s="13" t="str">
        <f t="shared" si="15"/>
        <v>https://en.wikipedia.org/wiki/Riverside_Township,_New_Jersey</v>
      </c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</row>
    <row r="426" spans="1:47" ht="16" customHeight="1" x14ac:dyDescent="0.2">
      <c r="A426" s="15" t="s">
        <v>1317</v>
      </c>
      <c r="B426" s="15" t="s">
        <v>150</v>
      </c>
      <c r="C426" s="15" t="s">
        <v>1318</v>
      </c>
      <c r="D426" s="15" t="s">
        <v>80</v>
      </c>
      <c r="E426" s="15" t="s">
        <v>72</v>
      </c>
      <c r="F426" s="15">
        <v>286</v>
      </c>
      <c r="G426" s="15" t="s">
        <v>1319</v>
      </c>
      <c r="H426" s="16">
        <v>46119</v>
      </c>
      <c r="I426" s="15" t="s">
        <v>1319</v>
      </c>
      <c r="J426" s="15" t="s">
        <v>2048</v>
      </c>
      <c r="K426" s="13" t="str">
        <f t="shared" si="15"/>
        <v>https://en.wikipedia.org/wiki/Riverton,_New_Jersey</v>
      </c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</row>
    <row r="427" spans="1:47" ht="16" customHeight="1" x14ac:dyDescent="0.2">
      <c r="A427" s="13" t="s">
        <v>1320</v>
      </c>
      <c r="B427" s="13" t="s">
        <v>462</v>
      </c>
      <c r="C427" s="13" t="s">
        <v>1321</v>
      </c>
      <c r="D427" s="13" t="s">
        <v>61</v>
      </c>
      <c r="E427" s="13" t="s">
        <v>72</v>
      </c>
      <c r="F427" s="13">
        <v>159</v>
      </c>
      <c r="G427" s="13" t="s">
        <v>1322</v>
      </c>
      <c r="H427" s="14">
        <v>45284</v>
      </c>
      <c r="I427" s="13" t="s">
        <v>1322</v>
      </c>
      <c r="J427" s="13" t="s">
        <v>2049</v>
      </c>
      <c r="K427" s="13" t="str">
        <f t="shared" si="15"/>
        <v>https://en.wikipedia.org/wiki/Robbinsville_Township,_New_Jersey</v>
      </c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</row>
    <row r="428" spans="1:47" ht="16" customHeight="1" x14ac:dyDescent="0.2">
      <c r="A428" s="15" t="s">
        <v>1323</v>
      </c>
      <c r="B428" s="15" t="s">
        <v>78</v>
      </c>
      <c r="C428" s="15" t="s">
        <v>1324</v>
      </c>
      <c r="D428" s="15" t="s">
        <v>61</v>
      </c>
      <c r="E428" s="15" t="s">
        <v>68</v>
      </c>
      <c r="F428" s="15"/>
      <c r="G428" s="15"/>
      <c r="H428" s="16"/>
      <c r="I428" s="15"/>
      <c r="J428" s="15"/>
      <c r="K428" s="13" t="str">
        <f t="shared" si="15"/>
        <v>https://en.wikipedia.org/wiki/Rochelle_Park_Township,_New_Jersey</v>
      </c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</row>
    <row r="429" spans="1:47" ht="16" customHeight="1" x14ac:dyDescent="0.2">
      <c r="A429" s="13" t="s">
        <v>1325</v>
      </c>
      <c r="B429" s="13" t="s">
        <v>236</v>
      </c>
      <c r="C429" s="13" t="s">
        <v>1326</v>
      </c>
      <c r="D429" s="13" t="s">
        <v>80</v>
      </c>
      <c r="E429" s="13" t="s">
        <v>68</v>
      </c>
      <c r="F429" s="13"/>
      <c r="G429" s="13"/>
      <c r="H429" s="14"/>
      <c r="I429" s="13"/>
      <c r="J429" s="13"/>
      <c r="K429" s="13" t="str">
        <f t="shared" si="15"/>
        <v>https://en.wikipedia.org/wiki/Rockaway,_New_Jersey</v>
      </c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</row>
    <row r="430" spans="1:47" ht="16" customHeight="1" x14ac:dyDescent="0.2">
      <c r="A430" s="15" t="s">
        <v>1325</v>
      </c>
      <c r="B430" s="15" t="s">
        <v>236</v>
      </c>
      <c r="C430" s="15" t="s">
        <v>1327</v>
      </c>
      <c r="D430" s="15" t="s">
        <v>61</v>
      </c>
      <c r="E430" s="15" t="s">
        <v>68</v>
      </c>
      <c r="F430" s="15"/>
      <c r="G430" s="15"/>
      <c r="H430" s="16"/>
      <c r="I430" s="15"/>
      <c r="J430" s="15"/>
      <c r="K430" s="13" t="str">
        <f t="shared" si="15"/>
        <v>https://en.wikipedia.org/wiki/Rockaway_Township,_New_Jersey</v>
      </c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</row>
    <row r="431" spans="1:47" ht="16" customHeight="1" x14ac:dyDescent="0.2">
      <c r="A431" s="13" t="s">
        <v>1328</v>
      </c>
      <c r="B431" s="13" t="s">
        <v>78</v>
      </c>
      <c r="C431" s="13" t="s">
        <v>1329</v>
      </c>
      <c r="D431" s="13" t="s">
        <v>80</v>
      </c>
      <c r="E431" s="13" t="s">
        <v>68</v>
      </c>
      <c r="F431" s="13"/>
      <c r="G431" s="13"/>
      <c r="H431" s="14"/>
      <c r="I431" s="13"/>
      <c r="J431" s="13"/>
      <c r="K431" s="13" t="str">
        <f t="shared" si="15"/>
        <v>https://en.wikipedia.org/wiki/Rockleigh,_New_Jersey</v>
      </c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</row>
    <row r="432" spans="1:47" ht="16" customHeight="1" x14ac:dyDescent="0.2">
      <c r="A432" s="15" t="s">
        <v>1330</v>
      </c>
      <c r="B432" s="15" t="s">
        <v>175</v>
      </c>
      <c r="C432" s="15" t="s">
        <v>1331</v>
      </c>
      <c r="D432" s="15" t="s">
        <v>80</v>
      </c>
      <c r="E432" s="15" t="s">
        <v>68</v>
      </c>
      <c r="F432" s="15"/>
      <c r="G432" s="15"/>
      <c r="H432" s="16"/>
      <c r="I432" s="15"/>
      <c r="J432" s="15"/>
      <c r="K432" s="13" t="str">
        <f t="shared" si="15"/>
        <v>https://en.wikipedia.org/wiki/Rocky_Hill,_New_Jersey</v>
      </c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</row>
    <row r="433" spans="1:47" ht="16" customHeight="1" x14ac:dyDescent="0.2">
      <c r="A433" s="13" t="s">
        <v>1332</v>
      </c>
      <c r="B433" s="13" t="s">
        <v>59</v>
      </c>
      <c r="C433" s="13" t="s">
        <v>1333</v>
      </c>
      <c r="D433" s="13" t="s">
        <v>80</v>
      </c>
      <c r="E433" s="13" t="s">
        <v>68</v>
      </c>
      <c r="F433" s="13"/>
      <c r="G433" s="13"/>
      <c r="H433" s="14"/>
      <c r="I433" s="13"/>
      <c r="J433" s="13"/>
      <c r="K433" s="13" t="str">
        <f t="shared" si="15"/>
        <v>https://en.wikipedia.org/wiki/Roosevelt,_New_Jersey</v>
      </c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</row>
    <row r="434" spans="1:47" ht="16" customHeight="1" x14ac:dyDescent="0.2">
      <c r="A434" s="15" t="s">
        <v>1334</v>
      </c>
      <c r="B434" s="15" t="s">
        <v>178</v>
      </c>
      <c r="C434" s="15" t="s">
        <v>1335</v>
      </c>
      <c r="D434" s="15" t="s">
        <v>80</v>
      </c>
      <c r="E434" s="15" t="s">
        <v>68</v>
      </c>
      <c r="F434" s="15"/>
      <c r="G434" s="15"/>
      <c r="H434" s="16"/>
      <c r="I434" s="15"/>
      <c r="J434" s="15"/>
      <c r="K434" s="13" t="str">
        <f t="shared" si="15"/>
        <v>https://en.wikipedia.org/wiki/Roseland,_New_Jersey</v>
      </c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</row>
    <row r="435" spans="1:47" ht="16" customHeight="1" x14ac:dyDescent="0.2">
      <c r="A435" s="13" t="s">
        <v>1336</v>
      </c>
      <c r="B435" s="13" t="s">
        <v>197</v>
      </c>
      <c r="C435" s="13" t="s">
        <v>1337</v>
      </c>
      <c r="D435" s="13" t="s">
        <v>80</v>
      </c>
      <c r="E435" s="13" t="s">
        <v>68</v>
      </c>
      <c r="F435" s="13"/>
      <c r="G435" s="13"/>
      <c r="H435" s="14"/>
      <c r="I435" s="13"/>
      <c r="J435" s="13"/>
      <c r="K435" s="13" t="str">
        <f t="shared" si="15"/>
        <v>https://en.wikipedia.org/wiki/Roselle,_New_Jersey</v>
      </c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</row>
    <row r="436" spans="1:47" ht="16" customHeight="1" x14ac:dyDescent="0.2">
      <c r="A436" s="15" t="s">
        <v>1338</v>
      </c>
      <c r="B436" s="15" t="s">
        <v>197</v>
      </c>
      <c r="C436" s="15" t="s">
        <v>1339</v>
      </c>
      <c r="D436" s="15" t="s">
        <v>80</v>
      </c>
      <c r="E436" s="15" t="s">
        <v>72</v>
      </c>
      <c r="F436" s="15">
        <v>139</v>
      </c>
      <c r="G436" s="15" t="s">
        <v>1340</v>
      </c>
      <c r="H436" s="16">
        <v>45244</v>
      </c>
      <c r="I436" s="15" t="s">
        <v>1340</v>
      </c>
      <c r="J436" s="15" t="s">
        <v>2050</v>
      </c>
      <c r="K436" s="13" t="str">
        <f t="shared" si="15"/>
        <v>https://en.wikipedia.org/wiki/Roselle_Park,_New_Jersey</v>
      </c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</row>
    <row r="437" spans="1:47" ht="16" customHeight="1" x14ac:dyDescent="0.2">
      <c r="A437" s="13" t="s">
        <v>1341</v>
      </c>
      <c r="B437" s="13" t="s">
        <v>236</v>
      </c>
      <c r="C437" s="13" t="s">
        <v>1342</v>
      </c>
      <c r="D437" s="13" t="s">
        <v>61</v>
      </c>
      <c r="E437" s="13" t="s">
        <v>68</v>
      </c>
      <c r="F437" s="13"/>
      <c r="G437" s="13"/>
      <c r="H437" s="14"/>
      <c r="I437" s="13"/>
      <c r="J437" s="13"/>
      <c r="K437" s="13" t="str">
        <f t="shared" si="15"/>
        <v>https://en.wikipedia.org/wiki/Roxbury_Township,_New_Jersey</v>
      </c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</row>
    <row r="438" spans="1:47" ht="16" customHeight="1" x14ac:dyDescent="0.2">
      <c r="A438" s="15" t="s">
        <v>1343</v>
      </c>
      <c r="B438" s="15" t="s">
        <v>59</v>
      </c>
      <c r="C438" s="15" t="s">
        <v>1344</v>
      </c>
      <c r="D438" s="15" t="s">
        <v>80</v>
      </c>
      <c r="E438" s="15" t="s">
        <v>83</v>
      </c>
      <c r="F438" s="15">
        <v>108</v>
      </c>
      <c r="G438" s="15" t="s">
        <v>1345</v>
      </c>
      <c r="H438" s="16">
        <v>45165</v>
      </c>
      <c r="I438" s="15" t="s">
        <v>1345</v>
      </c>
      <c r="J438" s="15" t="s">
        <v>2051</v>
      </c>
      <c r="K438" s="13" t="str">
        <f t="shared" si="15"/>
        <v>https://en.wikipedia.org/wiki/Rumson,_New_Jersey</v>
      </c>
      <c r="L438" s="15" t="s">
        <v>1346</v>
      </c>
      <c r="M438" s="15" t="s">
        <v>1347</v>
      </c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 t="s">
        <v>1348</v>
      </c>
      <c r="AM438" s="15" t="s">
        <v>1347</v>
      </c>
      <c r="AN438" s="15"/>
      <c r="AO438" s="15"/>
      <c r="AP438" s="15"/>
      <c r="AQ438" s="15"/>
      <c r="AR438" s="15"/>
      <c r="AS438" s="15"/>
      <c r="AT438" s="15"/>
      <c r="AU438" s="15"/>
    </row>
    <row r="439" spans="1:47" ht="16" customHeight="1" x14ac:dyDescent="0.2">
      <c r="A439" s="13" t="s">
        <v>1349</v>
      </c>
      <c r="B439" s="13" t="s">
        <v>123</v>
      </c>
      <c r="C439" s="13" t="s">
        <v>1350</v>
      </c>
      <c r="D439" s="13" t="s">
        <v>80</v>
      </c>
      <c r="E439" s="13" t="s">
        <v>72</v>
      </c>
      <c r="F439" s="13">
        <v>288</v>
      </c>
      <c r="G439" s="13" t="s">
        <v>2129</v>
      </c>
      <c r="H439" s="14">
        <v>46199</v>
      </c>
      <c r="I439" s="13" t="s">
        <v>2129</v>
      </c>
      <c r="J439" s="13" t="s">
        <v>2128</v>
      </c>
      <c r="K439" s="13" t="str">
        <f t="shared" si="15"/>
        <v>https://en.wikipedia.org/wiki/Runnemede,_New_Jersey</v>
      </c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</row>
    <row r="440" spans="1:47" ht="16" customHeight="1" x14ac:dyDescent="0.2">
      <c r="A440" s="15" t="s">
        <v>1351</v>
      </c>
      <c r="B440" s="15" t="s">
        <v>78</v>
      </c>
      <c r="C440" s="15" t="s">
        <v>1352</v>
      </c>
      <c r="D440" s="15" t="s">
        <v>80</v>
      </c>
      <c r="E440" s="15" t="s">
        <v>72</v>
      </c>
      <c r="F440" s="15">
        <v>261</v>
      </c>
      <c r="G440" s="15" t="s">
        <v>1353</v>
      </c>
      <c r="H440" s="67" t="s">
        <v>1354</v>
      </c>
      <c r="I440" s="15" t="s">
        <v>1353</v>
      </c>
      <c r="J440" s="15" t="s">
        <v>2052</v>
      </c>
      <c r="K440" s="13" t="str">
        <f t="shared" si="15"/>
        <v>https://en.wikipedia.org/wiki/Rutherford,_New_Jersey</v>
      </c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</row>
    <row r="441" spans="1:47" ht="16" customHeight="1" x14ac:dyDescent="0.2">
      <c r="A441" s="13" t="s">
        <v>1355</v>
      </c>
      <c r="B441" s="13" t="s">
        <v>78</v>
      </c>
      <c r="C441" s="13" t="s">
        <v>1356</v>
      </c>
      <c r="D441" s="13" t="s">
        <v>61</v>
      </c>
      <c r="E441" s="13" t="s">
        <v>68</v>
      </c>
      <c r="F441" s="13"/>
      <c r="G441" s="13"/>
      <c r="H441" s="14"/>
      <c r="I441" s="13"/>
      <c r="J441" s="13"/>
      <c r="K441" s="13" t="str">
        <f t="shared" si="15"/>
        <v>https://en.wikipedia.org/wiki/Saddle_Brook_Township,_New_Jersey</v>
      </c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</row>
    <row r="442" spans="1:47" ht="16" customHeight="1" x14ac:dyDescent="0.2">
      <c r="A442" s="15" t="s">
        <v>1357</v>
      </c>
      <c r="B442" s="15" t="s">
        <v>78</v>
      </c>
      <c r="C442" s="15" t="s">
        <v>1358</v>
      </c>
      <c r="D442" s="15" t="s">
        <v>80</v>
      </c>
      <c r="E442" s="15" t="s">
        <v>68</v>
      </c>
      <c r="F442" s="15"/>
      <c r="G442" s="15"/>
      <c r="H442" s="16"/>
      <c r="I442" s="15"/>
      <c r="J442" s="15"/>
      <c r="K442" s="13" t="str">
        <f t="shared" si="15"/>
        <v>https://en.wikipedia.org/wiki/Saddle_River,_New_Jersey</v>
      </c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</row>
    <row r="443" spans="1:47" ht="16" customHeight="1" x14ac:dyDescent="0.2">
      <c r="A443" s="13" t="s">
        <v>96</v>
      </c>
      <c r="B443" s="13" t="s">
        <v>96</v>
      </c>
      <c r="C443" s="13" t="s">
        <v>1359</v>
      </c>
      <c r="D443" s="13" t="s">
        <v>67</v>
      </c>
      <c r="E443" s="13" t="s">
        <v>72</v>
      </c>
      <c r="F443" s="13">
        <v>209</v>
      </c>
      <c r="G443" t="s">
        <v>1360</v>
      </c>
      <c r="H443" s="14">
        <v>45478</v>
      </c>
      <c r="I443" s="13"/>
      <c r="J443" s="13"/>
      <c r="K443" s="13" t="str">
        <f t="shared" si="15"/>
        <v>https://en.wikipedia.org/wiki/Salem,_New_Jersey</v>
      </c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</row>
    <row r="444" spans="1:47" ht="16" customHeight="1" x14ac:dyDescent="0.2">
      <c r="A444" s="15" t="s">
        <v>1361</v>
      </c>
      <c r="B444" s="15" t="s">
        <v>106</v>
      </c>
      <c r="C444" s="15" t="s">
        <v>1362</v>
      </c>
      <c r="D444" s="15" t="s">
        <v>61</v>
      </c>
      <c r="E444" s="15" t="s">
        <v>72</v>
      </c>
      <c r="F444" s="15">
        <v>160</v>
      </c>
      <c r="G444" s="15" t="s">
        <v>1363</v>
      </c>
      <c r="H444" s="16">
        <v>45289</v>
      </c>
      <c r="I444" s="15" t="s">
        <v>1363</v>
      </c>
      <c r="J444" s="15" t="s">
        <v>2053</v>
      </c>
      <c r="K444" s="13" t="str">
        <f t="shared" si="15"/>
        <v>https://en.wikipedia.org/wiki/Sandyston_Township,_New_Jersey</v>
      </c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</row>
    <row r="445" spans="1:47" ht="16" customHeight="1" x14ac:dyDescent="0.2">
      <c r="A445" s="13" t="s">
        <v>1364</v>
      </c>
      <c r="B445" s="13" t="s">
        <v>314</v>
      </c>
      <c r="C445" s="13" t="s">
        <v>1365</v>
      </c>
      <c r="D445" s="13" t="s">
        <v>80</v>
      </c>
      <c r="E445" s="13" t="s">
        <v>62</v>
      </c>
      <c r="F445" s="13"/>
      <c r="G445" s="13" t="s">
        <v>1366</v>
      </c>
      <c r="H445" s="14">
        <v>43477</v>
      </c>
      <c r="I445" s="13"/>
      <c r="J445" s="13"/>
      <c r="K445" s="13" t="str">
        <f t="shared" si="15"/>
        <v>https://en.wikipedia.org/wiki/Sayreville,_New_Jersey</v>
      </c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</row>
    <row r="446" spans="1:47" ht="16" customHeight="1" x14ac:dyDescent="0.2">
      <c r="A446" s="15" t="s">
        <v>1367</v>
      </c>
      <c r="B446" s="15" t="s">
        <v>197</v>
      </c>
      <c r="C446" s="15" t="s">
        <v>1368</v>
      </c>
      <c r="D446" s="15" t="s">
        <v>61</v>
      </c>
      <c r="E446" s="15" t="s">
        <v>72</v>
      </c>
      <c r="F446" s="15">
        <v>241</v>
      </c>
      <c r="G446" s="15" t="s">
        <v>1369</v>
      </c>
      <c r="H446" s="16">
        <v>45583</v>
      </c>
      <c r="I446" s="15" t="s">
        <v>1369</v>
      </c>
      <c r="J446" s="15" t="s">
        <v>2054</v>
      </c>
      <c r="K446" s="13" t="str">
        <f t="shared" si="15"/>
        <v>https://en.wikipedia.org/wiki/Scotch_Plains_Township,_New_Jersey</v>
      </c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</row>
    <row r="447" spans="1:47" ht="16" customHeight="1" x14ac:dyDescent="0.2">
      <c r="A447" s="13" t="s">
        <v>1370</v>
      </c>
      <c r="B447" s="13" t="s">
        <v>59</v>
      </c>
      <c r="C447" s="13" t="s">
        <v>1371</v>
      </c>
      <c r="D447" s="13" t="s">
        <v>80</v>
      </c>
      <c r="E447" s="13" t="s">
        <v>62</v>
      </c>
      <c r="F447" s="13"/>
      <c r="G447" s="13" t="s">
        <v>1372</v>
      </c>
      <c r="H447" s="14">
        <v>44607</v>
      </c>
      <c r="I447" s="13" t="s">
        <v>2055</v>
      </c>
      <c r="J447" s="13" t="s">
        <v>2056</v>
      </c>
      <c r="K447" s="13" t="str">
        <f t="shared" si="15"/>
        <v>https://en.wikipedia.org/wiki/Sea_Bright,_New_Jersey</v>
      </c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</row>
    <row r="448" spans="1:47" ht="16" customHeight="1" x14ac:dyDescent="0.2">
      <c r="A448" s="15" t="s">
        <v>1373</v>
      </c>
      <c r="B448" s="15" t="s">
        <v>59</v>
      </c>
      <c r="C448" s="15" t="s">
        <v>1374</v>
      </c>
      <c r="D448" s="15" t="s">
        <v>80</v>
      </c>
      <c r="E448" s="15" t="s">
        <v>72</v>
      </c>
      <c r="F448" s="15">
        <v>226</v>
      </c>
      <c r="G448" s="15" t="s">
        <v>1375</v>
      </c>
      <c r="H448" s="16">
        <v>45532</v>
      </c>
      <c r="I448" s="15" t="s">
        <v>2057</v>
      </c>
      <c r="J448" s="15" t="s">
        <v>2058</v>
      </c>
      <c r="K448" s="13" t="str">
        <f t="shared" ref="K448:K474" si="16">IF(A448="","","https://en.wikipedia.org/wiki/"&amp;SUBSTITUTE(A448," ","_")&amp;IF(D448="township","_Township","")&amp;",_New_Jersey")</f>
        <v>https://en.wikipedia.org/wiki/Sea_Girt,_New_Jersey</v>
      </c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</row>
    <row r="449" spans="1:47" ht="16" customHeight="1" x14ac:dyDescent="0.2">
      <c r="A449" s="13" t="s">
        <v>1376</v>
      </c>
      <c r="B449" s="13" t="s">
        <v>130</v>
      </c>
      <c r="C449" s="13" t="s">
        <v>1377</v>
      </c>
      <c r="D449" s="13" t="s">
        <v>67</v>
      </c>
      <c r="E449" s="13" t="s">
        <v>72</v>
      </c>
      <c r="F449" s="13"/>
      <c r="G449" s="13" t="s">
        <v>1378</v>
      </c>
      <c r="H449" s="14">
        <v>45564</v>
      </c>
      <c r="I449" s="13" t="s">
        <v>1379</v>
      </c>
      <c r="J449" s="13" t="s">
        <v>1380</v>
      </c>
      <c r="K449" s="13" t="str">
        <f t="shared" si="16"/>
        <v>https://en.wikipedia.org/wiki/Sea_Isle_City,_New_Jersey</v>
      </c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</row>
    <row r="450" spans="1:47" ht="16" customHeight="1" x14ac:dyDescent="0.2">
      <c r="A450" s="15" t="s">
        <v>1381</v>
      </c>
      <c r="B450" s="15" t="s">
        <v>139</v>
      </c>
      <c r="C450" s="15" t="s">
        <v>1382</v>
      </c>
      <c r="D450" s="15" t="s">
        <v>80</v>
      </c>
      <c r="E450" s="15" t="s">
        <v>68</v>
      </c>
      <c r="F450" s="15"/>
      <c r="G450" s="15"/>
      <c r="H450" s="16"/>
      <c r="I450" s="15"/>
      <c r="J450" s="15"/>
      <c r="K450" s="13" t="str">
        <f t="shared" si="16"/>
        <v>https://en.wikipedia.org/wiki/Seaside_Heights,_New_Jersey</v>
      </c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</row>
    <row r="451" spans="1:47" ht="16" customHeight="1" x14ac:dyDescent="0.2">
      <c r="A451" s="13" t="s">
        <v>1383</v>
      </c>
      <c r="B451" s="13" t="s">
        <v>139</v>
      </c>
      <c r="C451" s="13" t="s">
        <v>1384</v>
      </c>
      <c r="D451" s="13" t="s">
        <v>80</v>
      </c>
      <c r="E451" s="13" t="s">
        <v>72</v>
      </c>
      <c r="F451" s="13">
        <v>278</v>
      </c>
      <c r="G451" t="s">
        <v>1385</v>
      </c>
      <c r="H451" s="14">
        <v>45860</v>
      </c>
      <c r="I451" s="13" t="s">
        <v>1385</v>
      </c>
      <c r="J451" s="13" t="s">
        <v>2059</v>
      </c>
      <c r="K451" s="13" t="str">
        <f t="shared" si="16"/>
        <v>https://en.wikipedia.org/wiki/Seaside_Park,_New_Jersey</v>
      </c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</row>
    <row r="452" spans="1:47" ht="16" customHeight="1" x14ac:dyDescent="0.2">
      <c r="A452" s="15" t="s">
        <v>1386</v>
      </c>
      <c r="B452" s="15" t="s">
        <v>157</v>
      </c>
      <c r="C452" s="15" t="s">
        <v>1387</v>
      </c>
      <c r="D452" s="15" t="s">
        <v>189</v>
      </c>
      <c r="E452" s="15" t="s">
        <v>72</v>
      </c>
      <c r="F452" s="15">
        <v>138</v>
      </c>
      <c r="G452" s="15" t="s">
        <v>1388</v>
      </c>
      <c r="H452" s="16">
        <v>45241</v>
      </c>
      <c r="I452" s="15" t="s">
        <v>1388</v>
      </c>
      <c r="J452" s="15" t="s">
        <v>2060</v>
      </c>
      <c r="K452" s="13" t="str">
        <f t="shared" si="16"/>
        <v>https://en.wikipedia.org/wiki/Secaucus,_New_Jersey</v>
      </c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</row>
    <row r="453" spans="1:47" ht="16" customHeight="1" x14ac:dyDescent="0.2">
      <c r="A453" s="13" t="s">
        <v>1389</v>
      </c>
      <c r="B453" s="13" t="s">
        <v>150</v>
      </c>
      <c r="C453" s="13" t="s">
        <v>1390</v>
      </c>
      <c r="D453" s="13" t="s">
        <v>61</v>
      </c>
      <c r="E453" s="13" t="s">
        <v>68</v>
      </c>
      <c r="F453" s="13"/>
      <c r="G453" s="13"/>
      <c r="H453" s="14"/>
      <c r="I453" s="13"/>
      <c r="J453" s="13"/>
      <c r="K453" s="13" t="str">
        <f t="shared" si="16"/>
        <v>https://en.wikipedia.org/wiki/Shamong_Township,_New_Jersey</v>
      </c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</row>
    <row r="454" spans="1:47" ht="16" customHeight="1" x14ac:dyDescent="0.2">
      <c r="A454" s="15" t="s">
        <v>1391</v>
      </c>
      <c r="B454" s="15" t="s">
        <v>263</v>
      </c>
      <c r="C454" s="15" t="s">
        <v>1392</v>
      </c>
      <c r="D454" s="15" t="s">
        <v>80</v>
      </c>
      <c r="E454" s="15" t="s">
        <v>72</v>
      </c>
      <c r="F454" s="15">
        <v>196</v>
      </c>
      <c r="G454" t="s">
        <v>1393</v>
      </c>
      <c r="H454" s="16">
        <v>45444</v>
      </c>
      <c r="I454" s="15"/>
      <c r="J454" s="15"/>
      <c r="K454" s="13" t="str">
        <f t="shared" si="16"/>
        <v>https://en.wikipedia.org/wiki/Shiloh,_New_Jersey</v>
      </c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</row>
    <row r="455" spans="1:47" ht="16" customHeight="1" x14ac:dyDescent="0.2">
      <c r="A455" s="13" t="s">
        <v>1394</v>
      </c>
      <c r="B455" s="13" t="s">
        <v>139</v>
      </c>
      <c r="C455" s="13" t="s">
        <v>1395</v>
      </c>
      <c r="D455" s="13" t="s">
        <v>80</v>
      </c>
      <c r="E455" s="13" t="s">
        <v>72</v>
      </c>
      <c r="F455" s="13">
        <v>192</v>
      </c>
      <c r="G455" t="s">
        <v>1396</v>
      </c>
      <c r="H455" s="14">
        <v>45416</v>
      </c>
      <c r="I455" s="13" t="s">
        <v>1396</v>
      </c>
      <c r="J455" s="13" t="s">
        <v>2061</v>
      </c>
      <c r="K455" s="13" t="str">
        <f t="shared" si="16"/>
        <v>https://en.wikipedia.org/wiki/Ship_Bottom,_New_Jersey</v>
      </c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</row>
    <row r="456" spans="1:47" ht="16" customHeight="1" x14ac:dyDescent="0.2">
      <c r="A456" s="15" t="s">
        <v>1397</v>
      </c>
      <c r="B456" s="15" t="s">
        <v>59</v>
      </c>
      <c r="C456" s="15" t="s">
        <v>1398</v>
      </c>
      <c r="D456" s="15" t="s">
        <v>80</v>
      </c>
      <c r="E456" s="15" t="s">
        <v>68</v>
      </c>
      <c r="F456" s="15"/>
      <c r="G456" s="15"/>
      <c r="H456" s="16"/>
      <c r="I456" s="15"/>
      <c r="J456" s="15"/>
      <c r="K456" s="13" t="str">
        <f t="shared" si="16"/>
        <v>https://en.wikipedia.org/wiki/Shrewsbury,_New_Jersey</v>
      </c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</row>
    <row r="457" spans="1:47" ht="16" customHeight="1" x14ac:dyDescent="0.2">
      <c r="A457" s="13" t="s">
        <v>1397</v>
      </c>
      <c r="B457" s="13" t="s">
        <v>59</v>
      </c>
      <c r="C457" s="13" t="s">
        <v>1399</v>
      </c>
      <c r="D457" s="13" t="s">
        <v>61</v>
      </c>
      <c r="E457" s="13" t="s">
        <v>68</v>
      </c>
      <c r="F457" s="13"/>
      <c r="G457" s="13"/>
      <c r="H457" s="14"/>
      <c r="I457" s="13"/>
      <c r="J457" s="13"/>
      <c r="K457" s="13" t="str">
        <f t="shared" si="16"/>
        <v>https://en.wikipedia.org/wiki/Shrewsbury_Township,_New_Jersey</v>
      </c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</row>
    <row r="458" spans="1:47" ht="16" customHeight="1" x14ac:dyDescent="0.2">
      <c r="A458" s="15" t="s">
        <v>1400</v>
      </c>
      <c r="B458" s="15" t="s">
        <v>123</v>
      </c>
      <c r="C458" s="15" t="s">
        <v>1401</v>
      </c>
      <c r="D458" s="15" t="s">
        <v>80</v>
      </c>
      <c r="E458" s="15" t="s">
        <v>68</v>
      </c>
      <c r="F458" s="15"/>
      <c r="G458" s="15"/>
      <c r="H458" s="16"/>
      <c r="I458" s="15"/>
      <c r="J458" s="15"/>
      <c r="K458" s="13" t="str">
        <f t="shared" si="16"/>
        <v>https://en.wikipedia.org/wiki/Somerdale,_New_Jersey</v>
      </c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</row>
    <row r="459" spans="1:47" ht="16" customHeight="1" x14ac:dyDescent="0.2">
      <c r="A459" s="13" t="s">
        <v>1402</v>
      </c>
      <c r="B459" s="13" t="s">
        <v>65</v>
      </c>
      <c r="C459" s="13" t="s">
        <v>1403</v>
      </c>
      <c r="D459" s="13" t="s">
        <v>67</v>
      </c>
      <c r="E459" s="13" t="s">
        <v>62</v>
      </c>
      <c r="F459" s="13"/>
      <c r="G459" s="13" t="s">
        <v>1404</v>
      </c>
      <c r="H459" s="14">
        <v>44250</v>
      </c>
      <c r="I459" s="13" t="s">
        <v>1405</v>
      </c>
      <c r="J459" s="13" t="s">
        <v>1406</v>
      </c>
      <c r="K459" s="13" t="str">
        <f t="shared" si="16"/>
        <v>https://en.wikipedia.org/wiki/Somers_Point,_New_Jersey</v>
      </c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</row>
    <row r="460" spans="1:47" ht="16" customHeight="1" x14ac:dyDescent="0.2">
      <c r="A460" s="15" t="s">
        <v>1407</v>
      </c>
      <c r="B460" s="15" t="s">
        <v>175</v>
      </c>
      <c r="C460" s="15" t="s">
        <v>1408</v>
      </c>
      <c r="D460" s="15" t="s">
        <v>80</v>
      </c>
      <c r="E460" s="15" t="s">
        <v>62</v>
      </c>
      <c r="F460" s="15"/>
      <c r="G460" s="15" t="s">
        <v>1409</v>
      </c>
      <c r="H460" s="16">
        <v>43822</v>
      </c>
      <c r="I460" s="15" t="s">
        <v>2062</v>
      </c>
      <c r="J460" s="15" t="s">
        <v>2063</v>
      </c>
      <c r="K460" s="13" t="str">
        <f t="shared" si="16"/>
        <v>https://en.wikipedia.org/wiki/Somerville,_New_Jersey</v>
      </c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</row>
    <row r="461" spans="1:47" ht="16" customHeight="1" x14ac:dyDescent="0.2">
      <c r="A461" s="13" t="s">
        <v>1410</v>
      </c>
      <c r="B461" s="13" t="s">
        <v>314</v>
      </c>
      <c r="C461" s="13" t="s">
        <v>1411</v>
      </c>
      <c r="D461" s="13" t="s">
        <v>67</v>
      </c>
      <c r="E461" s="13" t="s">
        <v>83</v>
      </c>
      <c r="F461" s="13">
        <v>92</v>
      </c>
      <c r="G461" s="13" t="s">
        <v>1412</v>
      </c>
      <c r="H461" s="14">
        <v>45131</v>
      </c>
      <c r="I461" s="13" t="s">
        <v>1412</v>
      </c>
      <c r="J461" s="13" t="s">
        <v>2064</v>
      </c>
      <c r="K461" s="13" t="str">
        <f t="shared" si="16"/>
        <v>https://en.wikipedia.org/wiki/South_Amboy,_New_Jersey</v>
      </c>
      <c r="L461" s="13" t="s">
        <v>1413</v>
      </c>
      <c r="M461" s="13" t="s">
        <v>1414</v>
      </c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 t="s">
        <v>1415</v>
      </c>
      <c r="AM461" s="13" t="s">
        <v>1414</v>
      </c>
      <c r="AN461" s="13"/>
      <c r="AO461" s="13"/>
      <c r="AP461" s="13"/>
      <c r="AQ461" s="13"/>
      <c r="AR461" s="13"/>
      <c r="AS461" s="13"/>
      <c r="AT461" s="13"/>
      <c r="AU461" s="13"/>
    </row>
    <row r="462" spans="1:47" ht="16" customHeight="1" x14ac:dyDescent="0.2">
      <c r="A462" s="15" t="s">
        <v>1416</v>
      </c>
      <c r="B462" s="15" t="s">
        <v>175</v>
      </c>
      <c r="C462" s="15" t="s">
        <v>1417</v>
      </c>
      <c r="D462" s="15" t="s">
        <v>80</v>
      </c>
      <c r="E462" s="15" t="s">
        <v>62</v>
      </c>
      <c r="F462" s="15"/>
      <c r="G462" s="15" t="s">
        <v>1418</v>
      </c>
      <c r="H462" s="16">
        <v>42448</v>
      </c>
      <c r="I462" s="15"/>
      <c r="J462" s="15"/>
      <c r="K462" s="13" t="str">
        <f t="shared" si="16"/>
        <v>https://en.wikipedia.org/wiki/South_Bound_Brook,_New_Jersey</v>
      </c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</row>
    <row r="463" spans="1:47" ht="16" customHeight="1" x14ac:dyDescent="0.2">
      <c r="A463" s="13" t="s">
        <v>1419</v>
      </c>
      <c r="B463" s="13" t="s">
        <v>314</v>
      </c>
      <c r="C463" s="13" t="s">
        <v>1420</v>
      </c>
      <c r="D463" s="13" t="s">
        <v>61</v>
      </c>
      <c r="E463" s="13" t="s">
        <v>72</v>
      </c>
      <c r="F463" s="13">
        <v>251</v>
      </c>
      <c r="G463" s="13" t="s">
        <v>1421</v>
      </c>
      <c r="H463" s="14">
        <v>45628</v>
      </c>
      <c r="I463" s="13" t="s">
        <v>2065</v>
      </c>
      <c r="J463" s="13" t="s">
        <v>2066</v>
      </c>
      <c r="K463" s="13" t="str">
        <f t="shared" si="16"/>
        <v>https://en.wikipedia.org/wiki/South_Brunswick_Township,_New_Jersey</v>
      </c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</row>
    <row r="464" spans="1:47" ht="16" customHeight="1" x14ac:dyDescent="0.2">
      <c r="A464" s="15" t="s">
        <v>1422</v>
      </c>
      <c r="B464" s="15" t="s">
        <v>78</v>
      </c>
      <c r="C464" s="15" t="s">
        <v>1423</v>
      </c>
      <c r="D464" s="15" t="s">
        <v>61</v>
      </c>
      <c r="E464" s="15" t="s">
        <v>68</v>
      </c>
      <c r="F464" s="15"/>
      <c r="G464" s="15"/>
      <c r="H464" s="16"/>
      <c r="I464" s="15"/>
      <c r="J464" s="15"/>
      <c r="K464" s="13" t="str">
        <f t="shared" si="16"/>
        <v>https://en.wikipedia.org/wiki/South_Hackensack_Township,_New_Jersey</v>
      </c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</row>
    <row r="465" spans="1:47" ht="16" customHeight="1" x14ac:dyDescent="0.2">
      <c r="A465" s="13" t="s">
        <v>1424</v>
      </c>
      <c r="B465" s="13" t="s">
        <v>346</v>
      </c>
      <c r="C465" s="13" t="s">
        <v>1425</v>
      </c>
      <c r="D465" s="13" t="s">
        <v>61</v>
      </c>
      <c r="E465" s="13" t="s">
        <v>68</v>
      </c>
      <c r="F465" s="13"/>
      <c r="G465" s="13"/>
      <c r="H465" s="14"/>
      <c r="I465" s="13"/>
      <c r="J465" s="13"/>
      <c r="K465" s="13" t="str">
        <f t="shared" si="16"/>
        <v>https://en.wikipedia.org/wiki/South_Harrison_Township,_New_Jersey</v>
      </c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</row>
    <row r="466" spans="1:47" ht="16" customHeight="1" x14ac:dyDescent="0.2">
      <c r="A466" s="15" t="s">
        <v>1426</v>
      </c>
      <c r="B466" s="15" t="s">
        <v>178</v>
      </c>
      <c r="C466" s="15" t="s">
        <v>1427</v>
      </c>
      <c r="D466" s="15" t="s">
        <v>61</v>
      </c>
      <c r="E466" s="15" t="s">
        <v>68</v>
      </c>
      <c r="F466" s="15"/>
      <c r="G466" s="15"/>
      <c r="H466" s="16"/>
      <c r="I466" s="15"/>
      <c r="J466" s="15"/>
      <c r="K466" s="13" t="str">
        <f t="shared" si="16"/>
        <v>https://en.wikipedia.org/wiki/South_Orange_Village_Township,_New_Jersey</v>
      </c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</row>
    <row r="467" spans="1:47" ht="16" customHeight="1" x14ac:dyDescent="0.2">
      <c r="A467" s="13" t="s">
        <v>1428</v>
      </c>
      <c r="B467" s="13" t="s">
        <v>314</v>
      </c>
      <c r="C467" s="13" t="s">
        <v>1429</v>
      </c>
      <c r="D467" s="13" t="s">
        <v>80</v>
      </c>
      <c r="E467" s="13" t="s">
        <v>62</v>
      </c>
      <c r="F467" s="13"/>
      <c r="G467" s="13" t="s">
        <v>1430</v>
      </c>
      <c r="H467" s="14">
        <v>44431</v>
      </c>
      <c r="I467" s="13" t="s">
        <v>1430</v>
      </c>
      <c r="J467" s="13" t="s">
        <v>2071</v>
      </c>
      <c r="K467" s="13" t="str">
        <f t="shared" si="16"/>
        <v>https://en.wikipedia.org/wiki/South_Plainfield,_New_Jersey</v>
      </c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</row>
    <row r="468" spans="1:47" ht="16" customHeight="1" x14ac:dyDescent="0.2">
      <c r="A468" s="15" t="s">
        <v>1431</v>
      </c>
      <c r="B468" s="15" t="s">
        <v>314</v>
      </c>
      <c r="C468" s="15" t="s">
        <v>1432</v>
      </c>
      <c r="D468" s="15" t="s">
        <v>80</v>
      </c>
      <c r="E468" s="15" t="s">
        <v>83</v>
      </c>
      <c r="F468" s="15">
        <v>126</v>
      </c>
      <c r="G468" s="15" t="s">
        <v>1433</v>
      </c>
      <c r="H468" s="16">
        <v>45218</v>
      </c>
      <c r="I468" s="15" t="s">
        <v>1433</v>
      </c>
      <c r="J468" s="15" t="s">
        <v>2067</v>
      </c>
      <c r="K468" s="13" t="str">
        <f t="shared" si="16"/>
        <v>https://en.wikipedia.org/wiki/South_River,_New_Jersey</v>
      </c>
      <c r="L468" s="15" t="s">
        <v>1434</v>
      </c>
      <c r="M468" s="15" t="s">
        <v>1435</v>
      </c>
      <c r="N468" s="15" t="s">
        <v>1436</v>
      </c>
      <c r="O468" s="15" t="s">
        <v>1437</v>
      </c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 t="s">
        <v>1438</v>
      </c>
      <c r="AM468" s="15" t="s">
        <v>1435</v>
      </c>
      <c r="AN468" s="15"/>
      <c r="AO468" s="15"/>
      <c r="AP468" s="15" t="s">
        <v>1439</v>
      </c>
      <c r="AQ468" s="15" t="s">
        <v>1440</v>
      </c>
      <c r="AR468" s="15"/>
      <c r="AS468" s="15"/>
      <c r="AT468" s="15"/>
      <c r="AU468" s="15"/>
    </row>
    <row r="469" spans="1:47" ht="16" customHeight="1" x14ac:dyDescent="0.2">
      <c r="A469" s="13" t="s">
        <v>1441</v>
      </c>
      <c r="B469" s="13" t="s">
        <v>139</v>
      </c>
      <c r="C469" s="13" t="s">
        <v>1442</v>
      </c>
      <c r="D469" s="13" t="s">
        <v>80</v>
      </c>
      <c r="E469" s="13" t="s">
        <v>72</v>
      </c>
      <c r="F469" s="13">
        <v>165</v>
      </c>
      <c r="G469" t="s">
        <v>1443</v>
      </c>
      <c r="H469" s="14">
        <v>45297</v>
      </c>
      <c r="I469" s="13" t="s">
        <v>1443</v>
      </c>
      <c r="J469" s="13" t="s">
        <v>2072</v>
      </c>
      <c r="K469" s="13" t="str">
        <f t="shared" si="16"/>
        <v>https://en.wikipedia.org/wiki/South_Toms_River,_New_Jersey</v>
      </c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</row>
    <row r="470" spans="1:47" ht="16" customHeight="1" x14ac:dyDescent="0.2">
      <c r="A470" s="15" t="s">
        <v>1444</v>
      </c>
      <c r="B470" s="15" t="s">
        <v>150</v>
      </c>
      <c r="C470" s="15" t="s">
        <v>1445</v>
      </c>
      <c r="D470" s="15" t="s">
        <v>61</v>
      </c>
      <c r="E470" s="15" t="s">
        <v>72</v>
      </c>
      <c r="F470" s="15">
        <v>262</v>
      </c>
      <c r="G470" t="s">
        <v>1446</v>
      </c>
      <c r="H470" s="16">
        <v>45682</v>
      </c>
      <c r="I470" s="15" t="s">
        <v>2073</v>
      </c>
      <c r="J470" s="15" t="s">
        <v>2074</v>
      </c>
      <c r="K470" s="13" t="str">
        <f t="shared" si="16"/>
        <v>https://en.wikipedia.org/wiki/Southampton_Township,_New_Jersey</v>
      </c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</row>
    <row r="471" spans="1:47" ht="16" customHeight="1" x14ac:dyDescent="0.2">
      <c r="A471" s="13" t="s">
        <v>1447</v>
      </c>
      <c r="B471" s="13" t="s">
        <v>106</v>
      </c>
      <c r="C471" s="13" t="s">
        <v>1448</v>
      </c>
      <c r="D471" s="13" t="s">
        <v>61</v>
      </c>
      <c r="E471" s="13" t="s">
        <v>83</v>
      </c>
      <c r="F471" s="13">
        <v>127</v>
      </c>
      <c r="G471" s="13" t="s">
        <v>1449</v>
      </c>
      <c r="H471" s="14">
        <v>45220</v>
      </c>
      <c r="I471" s="13" t="s">
        <v>2068</v>
      </c>
      <c r="J471" s="13" t="s">
        <v>2069</v>
      </c>
      <c r="K471" s="13" t="str">
        <f t="shared" si="16"/>
        <v>https://en.wikipedia.org/wiki/Sparta_Township,_New_Jersey</v>
      </c>
      <c r="L471" s="13" t="s">
        <v>1450</v>
      </c>
      <c r="M471" s="13" t="s">
        <v>1451</v>
      </c>
      <c r="N471" s="13" t="s">
        <v>1452</v>
      </c>
      <c r="O471" s="13" t="s">
        <v>1453</v>
      </c>
      <c r="P471" s="13" t="s">
        <v>1450</v>
      </c>
      <c r="Q471" s="13" t="s">
        <v>1454</v>
      </c>
      <c r="R471" s="13"/>
      <c r="S471" s="13"/>
      <c r="T471" s="13" t="s">
        <v>1450</v>
      </c>
      <c r="U471" s="13" t="s">
        <v>1454</v>
      </c>
      <c r="V471" s="13"/>
      <c r="W471" s="13"/>
      <c r="X471" s="13" t="s">
        <v>1450</v>
      </c>
      <c r="Y471" s="13" t="s">
        <v>1455</v>
      </c>
      <c r="Z471" s="13"/>
      <c r="AA471" s="13"/>
      <c r="AB471" s="13"/>
      <c r="AC471" s="13"/>
      <c r="AD471" s="13"/>
      <c r="AE471" s="13"/>
      <c r="AF471" s="13" t="s">
        <v>1450</v>
      </c>
      <c r="AG471" s="13" t="s">
        <v>1454</v>
      </c>
      <c r="AH471" s="13" t="s">
        <v>1452</v>
      </c>
      <c r="AI471" s="13" t="s">
        <v>1456</v>
      </c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</row>
    <row r="472" spans="1:47" ht="16" customHeight="1" x14ac:dyDescent="0.2">
      <c r="A472" s="15" t="s">
        <v>1457</v>
      </c>
      <c r="B472" s="15" t="s">
        <v>314</v>
      </c>
      <c r="C472" s="15" t="s">
        <v>1458</v>
      </c>
      <c r="D472" s="15" t="s">
        <v>80</v>
      </c>
      <c r="E472" s="15" t="s">
        <v>62</v>
      </c>
      <c r="F472" s="15"/>
      <c r="G472" s="15" t="s">
        <v>1459</v>
      </c>
      <c r="H472" s="16">
        <v>43637</v>
      </c>
      <c r="I472" s="15" t="s">
        <v>2075</v>
      </c>
      <c r="J472" s="15" t="s">
        <v>2076</v>
      </c>
      <c r="K472" s="13" t="str">
        <f t="shared" si="16"/>
        <v>https://en.wikipedia.org/wiki/Spotswood,_New_Jersey</v>
      </c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</row>
    <row r="473" spans="1:47" ht="16" customHeight="1" x14ac:dyDescent="0.2">
      <c r="A473" s="13" t="s">
        <v>1460</v>
      </c>
      <c r="B473" s="13" t="s">
        <v>59</v>
      </c>
      <c r="C473" s="13" t="s">
        <v>1461</v>
      </c>
      <c r="D473" s="13" t="s">
        <v>80</v>
      </c>
      <c r="E473" s="13" t="s">
        <v>68</v>
      </c>
      <c r="F473" s="13"/>
      <c r="G473" s="13"/>
      <c r="H473" s="14"/>
      <c r="I473" s="13"/>
      <c r="J473" s="13"/>
      <c r="K473" s="13" t="str">
        <f t="shared" si="16"/>
        <v>https://en.wikipedia.org/wiki/Spring_Lake,_New_Jersey</v>
      </c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</row>
    <row r="474" spans="1:47" ht="16" customHeight="1" x14ac:dyDescent="0.2">
      <c r="A474" s="15" t="s">
        <v>1462</v>
      </c>
      <c r="B474" s="15" t="s">
        <v>59</v>
      </c>
      <c r="C474" s="15" t="s">
        <v>1463</v>
      </c>
      <c r="D474" s="15" t="s">
        <v>80</v>
      </c>
      <c r="E474" s="15" t="s">
        <v>62</v>
      </c>
      <c r="F474" s="15"/>
      <c r="G474" s="15" t="s">
        <v>1464</v>
      </c>
      <c r="H474" s="16">
        <v>43337</v>
      </c>
      <c r="I474" s="15" t="s">
        <v>2077</v>
      </c>
      <c r="J474" s="15" t="s">
        <v>2078</v>
      </c>
      <c r="K474" s="13" t="str">
        <f t="shared" si="16"/>
        <v>https://en.wikipedia.org/wiki/Spring_Lake_Heights,_New_Jersey</v>
      </c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</row>
    <row r="475" spans="1:47" ht="16" customHeight="1" x14ac:dyDescent="0.2">
      <c r="A475" s="13" t="s">
        <v>1465</v>
      </c>
      <c r="B475" s="13" t="s">
        <v>150</v>
      </c>
      <c r="C475" s="13" t="s">
        <v>1466</v>
      </c>
      <c r="D475" s="13" t="s">
        <v>61</v>
      </c>
      <c r="E475" s="13" t="s">
        <v>72</v>
      </c>
      <c r="F475" s="13">
        <v>143</v>
      </c>
      <c r="G475" t="s">
        <v>1467</v>
      </c>
      <c r="H475" s="14">
        <v>45254</v>
      </c>
      <c r="I475" s="13" t="s">
        <v>1467</v>
      </c>
      <c r="J475" s="13" t="s">
        <v>2079</v>
      </c>
      <c r="K475" s="13" t="s">
        <v>1468</v>
      </c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</row>
    <row r="476" spans="1:47" ht="16" customHeight="1" x14ac:dyDescent="0.2">
      <c r="A476" s="15" t="s">
        <v>1465</v>
      </c>
      <c r="B476" s="15" t="s">
        <v>197</v>
      </c>
      <c r="C476" s="15" t="s">
        <v>1469</v>
      </c>
      <c r="D476" s="15" t="s">
        <v>61</v>
      </c>
      <c r="E476" s="15" t="s">
        <v>68</v>
      </c>
      <c r="F476" s="15"/>
      <c r="G476" s="15"/>
      <c r="H476" s="16"/>
      <c r="I476" s="15"/>
      <c r="J476" s="15"/>
      <c r="K476" s="13" t="s">
        <v>1470</v>
      </c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</row>
    <row r="477" spans="1:47" ht="16" customHeight="1" x14ac:dyDescent="0.2">
      <c r="A477" s="13" t="s">
        <v>1471</v>
      </c>
      <c r="B477" s="13" t="s">
        <v>139</v>
      </c>
      <c r="C477" s="13" t="s">
        <v>1472</v>
      </c>
      <c r="D477" s="13" t="s">
        <v>61</v>
      </c>
      <c r="E477" s="13" t="s">
        <v>68</v>
      </c>
      <c r="F477" s="13"/>
      <c r="G477" s="13"/>
      <c r="H477" s="14"/>
      <c r="I477" s="13"/>
      <c r="J477" s="13"/>
      <c r="K477" s="13" t="str">
        <f t="shared" ref="K477:K498" si="17">IF(A477="","","https://en.wikipedia.org/wiki/"&amp;SUBSTITUTE(A477," ","_")&amp;IF(D477="township","_Township","")&amp;",_New_Jersey")</f>
        <v>https://en.wikipedia.org/wiki/Stafford_Township,_New_Jersey</v>
      </c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</row>
    <row r="478" spans="1:47" ht="16" customHeight="1" x14ac:dyDescent="0.2">
      <c r="A478" s="15" t="s">
        <v>1473</v>
      </c>
      <c r="B478" s="15" t="s">
        <v>106</v>
      </c>
      <c r="C478" s="15" t="s">
        <v>1474</v>
      </c>
      <c r="D478" s="15" t="s">
        <v>80</v>
      </c>
      <c r="E478" s="15" t="s">
        <v>68</v>
      </c>
      <c r="F478" s="15"/>
      <c r="G478" s="15"/>
      <c r="H478" s="16"/>
      <c r="I478" s="15"/>
      <c r="J478" s="15"/>
      <c r="K478" s="13" t="str">
        <f t="shared" si="17"/>
        <v>https://en.wikipedia.org/wiki/Stanhope,_New_Jersey</v>
      </c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</row>
    <row r="479" spans="1:47" ht="16" customHeight="1" x14ac:dyDescent="0.2">
      <c r="A479" s="13" t="s">
        <v>1475</v>
      </c>
      <c r="B479" s="13" t="s">
        <v>106</v>
      </c>
      <c r="C479" s="13" t="s">
        <v>1476</v>
      </c>
      <c r="D479" s="13" t="s">
        <v>61</v>
      </c>
      <c r="E479" s="13" t="s">
        <v>72</v>
      </c>
      <c r="F479" s="13">
        <v>173</v>
      </c>
      <c r="G479" s="13" t="s">
        <v>1477</v>
      </c>
      <c r="H479" s="14">
        <v>45326</v>
      </c>
      <c r="I479" s="13"/>
      <c r="J479" s="13"/>
      <c r="K479" s="13" t="str">
        <f t="shared" si="17"/>
        <v>https://en.wikipedia.org/wiki/Stillwater_Township,_New_Jersey</v>
      </c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</row>
    <row r="480" spans="1:47" ht="16" customHeight="1" x14ac:dyDescent="0.2">
      <c r="A480" s="15" t="s">
        <v>1478</v>
      </c>
      <c r="B480" s="15" t="s">
        <v>70</v>
      </c>
      <c r="C480" s="15" t="s">
        <v>1479</v>
      </c>
      <c r="D480" s="15" t="s">
        <v>80</v>
      </c>
      <c r="E480" s="15" t="s">
        <v>68</v>
      </c>
      <c r="F480" s="15"/>
      <c r="G480" s="15"/>
      <c r="H480" s="16"/>
      <c r="I480" s="15"/>
      <c r="J480" s="15"/>
      <c r="K480" s="13" t="str">
        <f t="shared" si="17"/>
        <v>https://en.wikipedia.org/wiki/Stockton,_New_Jersey</v>
      </c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</row>
    <row r="481" spans="1:47" ht="16" customHeight="1" x14ac:dyDescent="0.2">
      <c r="A481" s="13" t="s">
        <v>1480</v>
      </c>
      <c r="B481" s="13" t="s">
        <v>130</v>
      </c>
      <c r="C481" s="13" t="s">
        <v>1481</v>
      </c>
      <c r="D481" s="13" t="s">
        <v>80</v>
      </c>
      <c r="E481" s="13" t="s">
        <v>68</v>
      </c>
      <c r="F481" s="13"/>
      <c r="G481" s="13"/>
      <c r="H481" s="14"/>
      <c r="I481" s="13"/>
      <c r="J481" s="13"/>
      <c r="K481" s="13" t="str">
        <f t="shared" si="17"/>
        <v>https://en.wikipedia.org/wiki/Stone_Harbor,_New_Jersey</v>
      </c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</row>
    <row r="482" spans="1:47" ht="16" customHeight="1" x14ac:dyDescent="0.2">
      <c r="A482" s="15" t="s">
        <v>1482</v>
      </c>
      <c r="B482" s="15" t="s">
        <v>263</v>
      </c>
      <c r="C482" s="15" t="s">
        <v>1483</v>
      </c>
      <c r="D482" s="15" t="s">
        <v>61</v>
      </c>
      <c r="E482" s="15" t="s">
        <v>72</v>
      </c>
      <c r="F482" s="15">
        <v>197</v>
      </c>
      <c r="G482" t="s">
        <v>1484</v>
      </c>
      <c r="H482" s="16">
        <v>45444</v>
      </c>
      <c r="I482" s="15"/>
      <c r="J482" s="15"/>
      <c r="K482" s="13" t="str">
        <f t="shared" si="17"/>
        <v>https://en.wikipedia.org/wiki/Stow_Creek_Township,_New_Jersey</v>
      </c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</row>
    <row r="483" spans="1:47" ht="16" customHeight="1" x14ac:dyDescent="0.2">
      <c r="A483" s="13" t="s">
        <v>1485</v>
      </c>
      <c r="B483" s="13" t="s">
        <v>123</v>
      </c>
      <c r="C483" s="13" t="s">
        <v>1486</v>
      </c>
      <c r="D483" s="13" t="s">
        <v>80</v>
      </c>
      <c r="E483" s="13" t="s">
        <v>68</v>
      </c>
      <c r="F483" s="13"/>
      <c r="G483" s="13"/>
      <c r="H483" s="14"/>
      <c r="I483" s="13"/>
      <c r="J483" s="13"/>
      <c r="K483" s="13" t="str">
        <f t="shared" si="17"/>
        <v>https://en.wikipedia.org/wiki/Stratford,_New_Jersey</v>
      </c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</row>
    <row r="484" spans="1:47" ht="16" customHeight="1" x14ac:dyDescent="0.2">
      <c r="A484" s="15" t="s">
        <v>1487</v>
      </c>
      <c r="B484" s="15" t="s">
        <v>197</v>
      </c>
      <c r="C484" s="15" t="s">
        <v>1488</v>
      </c>
      <c r="D484" s="15" t="s">
        <v>67</v>
      </c>
      <c r="E484" s="15" t="s">
        <v>68</v>
      </c>
      <c r="F484" s="15"/>
      <c r="G484" s="15"/>
      <c r="H484" s="16"/>
      <c r="I484" s="15"/>
      <c r="J484" s="15"/>
      <c r="K484" s="13" t="str">
        <f t="shared" si="17"/>
        <v>https://en.wikipedia.org/wiki/Summit,_New_Jersey</v>
      </c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</row>
    <row r="485" spans="1:47" ht="16" customHeight="1" x14ac:dyDescent="0.2">
      <c r="A485" s="13" t="s">
        <v>1489</v>
      </c>
      <c r="B485" s="13" t="s">
        <v>139</v>
      </c>
      <c r="C485" s="13" t="s">
        <v>1490</v>
      </c>
      <c r="D485" s="13" t="s">
        <v>80</v>
      </c>
      <c r="E485" s="13" t="s">
        <v>68</v>
      </c>
      <c r="F485" s="13"/>
      <c r="G485" s="13"/>
      <c r="H485" s="14"/>
      <c r="I485" s="13"/>
      <c r="J485" s="13"/>
      <c r="K485" s="13" t="str">
        <f t="shared" si="17"/>
        <v>https://en.wikipedia.org/wiki/Surf_City,_New_Jersey</v>
      </c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</row>
    <row r="486" spans="1:47" ht="16" customHeight="1" x14ac:dyDescent="0.2">
      <c r="A486" s="15" t="s">
        <v>106</v>
      </c>
      <c r="B486" s="15" t="s">
        <v>106</v>
      </c>
      <c r="C486" s="15" t="s">
        <v>1491</v>
      </c>
      <c r="D486" s="15" t="s">
        <v>80</v>
      </c>
      <c r="E486" s="15" t="s">
        <v>72</v>
      </c>
      <c r="F486" s="15">
        <v>133</v>
      </c>
      <c r="G486" s="15" t="s">
        <v>1492</v>
      </c>
      <c r="H486" s="16">
        <v>45227</v>
      </c>
      <c r="I486" s="15"/>
      <c r="J486" s="15"/>
      <c r="K486" s="13" t="str">
        <f t="shared" si="17"/>
        <v>https://en.wikipedia.org/wiki/Sussex,_New_Jersey</v>
      </c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</row>
    <row r="487" spans="1:47" ht="16" customHeight="1" x14ac:dyDescent="0.2">
      <c r="A487" s="13" t="s">
        <v>1493</v>
      </c>
      <c r="B487" s="13" t="s">
        <v>346</v>
      </c>
      <c r="C487" s="13" t="s">
        <v>1494</v>
      </c>
      <c r="D487" s="13" t="s">
        <v>80</v>
      </c>
      <c r="E487" s="13" t="s">
        <v>72</v>
      </c>
      <c r="F487" s="13">
        <v>136</v>
      </c>
      <c r="G487" t="s">
        <v>1495</v>
      </c>
      <c r="H487" s="14">
        <v>45235</v>
      </c>
      <c r="I487" s="13" t="s">
        <v>2080</v>
      </c>
      <c r="J487" s="13" t="s">
        <v>2081</v>
      </c>
      <c r="K487" s="13" t="str">
        <f t="shared" si="17"/>
        <v>https://en.wikipedia.org/wiki/Swedesboro,_New_Jersey</v>
      </c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</row>
    <row r="488" spans="1:47" ht="16" customHeight="1" x14ac:dyDescent="0.2">
      <c r="A488" s="15" t="s">
        <v>1496</v>
      </c>
      <c r="B488" s="15" t="s">
        <v>150</v>
      </c>
      <c r="C488" s="15" t="s">
        <v>1497</v>
      </c>
      <c r="D488" s="15" t="s">
        <v>61</v>
      </c>
      <c r="E488" s="15" t="s">
        <v>72</v>
      </c>
      <c r="F488" s="15">
        <v>243</v>
      </c>
      <c r="G488" t="s">
        <v>1498</v>
      </c>
      <c r="H488" s="16">
        <v>45584</v>
      </c>
      <c r="I488" s="15"/>
      <c r="J488" s="15"/>
      <c r="K488" s="13" t="str">
        <f t="shared" si="17"/>
        <v>https://en.wikipedia.org/wiki/Tabernacle_Township,_New_Jersey</v>
      </c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</row>
    <row r="489" spans="1:47" ht="16" customHeight="1" x14ac:dyDescent="0.2">
      <c r="A489" s="13" t="s">
        <v>1499</v>
      </c>
      <c r="B489" s="13" t="s">
        <v>123</v>
      </c>
      <c r="C489" s="13" t="s">
        <v>1500</v>
      </c>
      <c r="D489" s="13" t="s">
        <v>80</v>
      </c>
      <c r="E489" s="13" t="s">
        <v>68</v>
      </c>
      <c r="F489" s="13"/>
      <c r="G489" s="13"/>
      <c r="H489" s="14"/>
      <c r="I489" s="13"/>
      <c r="J489" s="13"/>
      <c r="K489" s="13" t="str">
        <f t="shared" si="17"/>
        <v>https://en.wikipedia.org/wiki/Tavistock,_New_Jersey</v>
      </c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</row>
    <row r="490" spans="1:47" ht="16" customHeight="1" x14ac:dyDescent="0.2">
      <c r="A490" s="15" t="s">
        <v>1501</v>
      </c>
      <c r="B490" s="15" t="s">
        <v>78</v>
      </c>
      <c r="C490" s="15" t="s">
        <v>1502</v>
      </c>
      <c r="D490" s="15" t="s">
        <v>61</v>
      </c>
      <c r="E490" s="15" t="s">
        <v>68</v>
      </c>
      <c r="F490" s="15"/>
      <c r="G490" s="15"/>
      <c r="H490" s="16"/>
      <c r="I490" s="15"/>
      <c r="J490" s="15"/>
      <c r="K490" s="13" t="str">
        <f t="shared" si="17"/>
        <v>https://en.wikipedia.org/wiki/Teaneck_Township,_New_Jersey</v>
      </c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</row>
    <row r="491" spans="1:47" ht="16" customHeight="1" x14ac:dyDescent="0.2">
      <c r="A491" s="13" t="s">
        <v>1503</v>
      </c>
      <c r="B491" s="13" t="s">
        <v>78</v>
      </c>
      <c r="C491" s="13" t="s">
        <v>1504</v>
      </c>
      <c r="D491" s="13" t="s">
        <v>80</v>
      </c>
      <c r="E491" s="13" t="s">
        <v>68</v>
      </c>
      <c r="F491" s="13"/>
      <c r="G491" s="13"/>
      <c r="H491" s="14"/>
      <c r="I491" s="13"/>
      <c r="J491" s="13"/>
      <c r="K491" s="13" t="str">
        <f t="shared" si="17"/>
        <v>https://en.wikipedia.org/wiki/Tenafly,_New_Jersey</v>
      </c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</row>
    <row r="492" spans="1:47" ht="16" customHeight="1" x14ac:dyDescent="0.2">
      <c r="A492" s="15" t="s">
        <v>1505</v>
      </c>
      <c r="B492" s="15" t="s">
        <v>78</v>
      </c>
      <c r="C492" s="15" t="s">
        <v>1506</v>
      </c>
      <c r="D492" s="15" t="s">
        <v>80</v>
      </c>
      <c r="E492" s="15" t="s">
        <v>68</v>
      </c>
      <c r="F492" s="15"/>
      <c r="G492" s="15"/>
      <c r="H492" s="16"/>
      <c r="I492" s="15"/>
      <c r="J492" s="15"/>
      <c r="K492" s="13" t="str">
        <f t="shared" si="17"/>
        <v>https://en.wikipedia.org/wiki/Teterboro,_New_Jersey</v>
      </c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</row>
    <row r="493" spans="1:47" ht="16" customHeight="1" x14ac:dyDescent="0.2">
      <c r="A493" s="13" t="s">
        <v>1507</v>
      </c>
      <c r="B493" s="13" t="s">
        <v>70</v>
      </c>
      <c r="C493" s="13" t="s">
        <v>1508</v>
      </c>
      <c r="D493" s="13" t="s">
        <v>61</v>
      </c>
      <c r="E493" s="13" t="s">
        <v>72</v>
      </c>
      <c r="F493" s="13">
        <v>186</v>
      </c>
      <c r="G493" s="13" t="s">
        <v>1509</v>
      </c>
      <c r="H493" s="14">
        <v>45029</v>
      </c>
      <c r="I493" s="13" t="s">
        <v>2082</v>
      </c>
      <c r="J493" s="13" t="s">
        <v>2083</v>
      </c>
      <c r="K493" s="13" t="str">
        <f t="shared" si="17"/>
        <v>https://en.wikipedia.org/wiki/Tewksbury_Township,_New_Jersey</v>
      </c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</row>
    <row r="494" spans="1:47" ht="16" customHeight="1" x14ac:dyDescent="0.2">
      <c r="A494" s="15" t="s">
        <v>1510</v>
      </c>
      <c r="B494" s="15" t="s">
        <v>59</v>
      </c>
      <c r="C494" s="15" t="s">
        <v>1511</v>
      </c>
      <c r="D494" s="15" t="s">
        <v>80</v>
      </c>
      <c r="E494" s="15" t="s">
        <v>62</v>
      </c>
      <c r="F494" s="15"/>
      <c r="G494" s="15" t="s">
        <v>1512</v>
      </c>
      <c r="H494" s="16">
        <v>43730</v>
      </c>
      <c r="I494" s="15"/>
      <c r="J494" s="15"/>
      <c r="K494" s="13" t="str">
        <f t="shared" si="17"/>
        <v>https://en.wikipedia.org/wiki/Tinton_Falls,_New_Jersey</v>
      </c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</row>
    <row r="495" spans="1:47" ht="16" customHeight="1" x14ac:dyDescent="0.2">
      <c r="A495" s="13" t="s">
        <v>1513</v>
      </c>
      <c r="B495" s="13" t="s">
        <v>139</v>
      </c>
      <c r="C495" s="13" t="s">
        <v>1514</v>
      </c>
      <c r="D495" s="13" t="s">
        <v>61</v>
      </c>
      <c r="E495" s="13" t="s">
        <v>62</v>
      </c>
      <c r="F495" s="13"/>
      <c r="G495" t="s">
        <v>1515</v>
      </c>
      <c r="H495" s="14">
        <v>42406</v>
      </c>
      <c r="I495" s="13" t="s">
        <v>1515</v>
      </c>
      <c r="J495" s="13" t="s">
        <v>2070</v>
      </c>
      <c r="K495" s="13" t="str">
        <f t="shared" si="17"/>
        <v>https://en.wikipedia.org/wiki/Toms_River_Township,_New_Jersey</v>
      </c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</row>
    <row r="496" spans="1:47" ht="16" customHeight="1" x14ac:dyDescent="0.2">
      <c r="A496" s="15" t="s">
        <v>1516</v>
      </c>
      <c r="B496" s="15" t="s">
        <v>229</v>
      </c>
      <c r="C496" s="15" t="s">
        <v>1517</v>
      </c>
      <c r="D496" s="15" t="s">
        <v>80</v>
      </c>
      <c r="E496" s="15" t="s">
        <v>68</v>
      </c>
      <c r="F496" s="15"/>
      <c r="G496" s="15"/>
      <c r="H496" s="16"/>
      <c r="I496" s="15"/>
      <c r="J496" s="15"/>
      <c r="K496" s="13" t="str">
        <f t="shared" si="17"/>
        <v>https://en.wikipedia.org/wiki/Totowa,_New_Jersey</v>
      </c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</row>
    <row r="497" spans="1:47" ht="16" customHeight="1" x14ac:dyDescent="0.2">
      <c r="A497" s="13" t="s">
        <v>1518</v>
      </c>
      <c r="B497" s="13" t="s">
        <v>462</v>
      </c>
      <c r="C497" s="13" t="s">
        <v>1519</v>
      </c>
      <c r="D497" s="13" t="s">
        <v>67</v>
      </c>
      <c r="E497" s="13" t="s">
        <v>83</v>
      </c>
      <c r="F497" s="13">
        <v>97</v>
      </c>
      <c r="G497" s="13" t="s">
        <v>1520</v>
      </c>
      <c r="H497" s="14">
        <v>45143</v>
      </c>
      <c r="I497" s="13" t="s">
        <v>1520</v>
      </c>
      <c r="J497" s="13" t="s">
        <v>2084</v>
      </c>
      <c r="K497" s="13" t="str">
        <f t="shared" si="17"/>
        <v>https://en.wikipedia.org/wiki/Trenton,_New_Jersey</v>
      </c>
      <c r="L497" s="13" t="s">
        <v>1521</v>
      </c>
      <c r="M497" s="13" t="s">
        <v>1522</v>
      </c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 t="s">
        <v>1521</v>
      </c>
      <c r="AG497" s="13" t="s">
        <v>1523</v>
      </c>
      <c r="AH497" s="13"/>
      <c r="AI497" s="13"/>
      <c r="AJ497" s="13"/>
      <c r="AK497" s="13"/>
      <c r="AL497" s="13" t="s">
        <v>1524</v>
      </c>
      <c r="AM497" s="13" t="s">
        <v>1522</v>
      </c>
      <c r="AN497" s="13"/>
      <c r="AO497" s="13"/>
      <c r="AP497" s="13"/>
      <c r="AQ497" s="13"/>
      <c r="AR497" s="13"/>
      <c r="AS497" s="13"/>
      <c r="AT497" s="13"/>
      <c r="AU497" s="13"/>
    </row>
    <row r="498" spans="1:47" ht="16" customHeight="1" x14ac:dyDescent="0.2">
      <c r="A498" s="15" t="s">
        <v>1525</v>
      </c>
      <c r="B498" s="15" t="s">
        <v>139</v>
      </c>
      <c r="C498" s="15" t="s">
        <v>1526</v>
      </c>
      <c r="D498" s="15" t="s">
        <v>80</v>
      </c>
      <c r="E498" s="15" t="s">
        <v>72</v>
      </c>
      <c r="F498" s="15">
        <v>246</v>
      </c>
      <c r="G498" t="s">
        <v>1527</v>
      </c>
      <c r="H498" s="16">
        <v>45606</v>
      </c>
      <c r="I498" s="15" t="s">
        <v>2085</v>
      </c>
      <c r="J498" s="15" t="s">
        <v>2086</v>
      </c>
      <c r="K498" s="13" t="str">
        <f t="shared" si="17"/>
        <v>https://en.wikipedia.org/wiki/Tuckerton,_New_Jersey</v>
      </c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</row>
    <row r="499" spans="1:47" ht="16" customHeight="1" x14ac:dyDescent="0.2">
      <c r="A499" s="13" t="s">
        <v>197</v>
      </c>
      <c r="B499" s="13" t="s">
        <v>70</v>
      </c>
      <c r="C499" s="13" t="s">
        <v>1528</v>
      </c>
      <c r="D499" s="13" t="s">
        <v>61</v>
      </c>
      <c r="E499" s="13" t="s">
        <v>83</v>
      </c>
      <c r="F499" s="13">
        <v>121</v>
      </c>
      <c r="G499" s="13" t="s">
        <v>1529</v>
      </c>
      <c r="H499" s="14">
        <v>45207</v>
      </c>
      <c r="I499" s="13" t="s">
        <v>1529</v>
      </c>
      <c r="J499" s="13" t="s">
        <v>2087</v>
      </c>
      <c r="K499" s="13" t="s">
        <v>1530</v>
      </c>
      <c r="L499" s="13" t="s">
        <v>1531</v>
      </c>
      <c r="M499" s="13" t="s">
        <v>1296</v>
      </c>
      <c r="N499" s="13" t="s">
        <v>1532</v>
      </c>
      <c r="O499" s="13" t="s">
        <v>1533</v>
      </c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 t="s">
        <v>1532</v>
      </c>
      <c r="AG499" s="13" t="s">
        <v>1534</v>
      </c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</row>
    <row r="500" spans="1:47" ht="16" customHeight="1" x14ac:dyDescent="0.2">
      <c r="A500" s="15" t="s">
        <v>197</v>
      </c>
      <c r="B500" s="15" t="s">
        <v>197</v>
      </c>
      <c r="C500" s="15" t="s">
        <v>1535</v>
      </c>
      <c r="D500" s="15" t="s">
        <v>61</v>
      </c>
      <c r="E500" s="15" t="s">
        <v>83</v>
      </c>
      <c r="F500" s="15">
        <v>120</v>
      </c>
      <c r="G500" s="15" t="s">
        <v>1536</v>
      </c>
      <c r="H500" s="16">
        <v>45204</v>
      </c>
      <c r="I500" s="15"/>
      <c r="J500" s="15"/>
      <c r="K500" s="13" t="s">
        <v>1537</v>
      </c>
      <c r="L500" s="15" t="s">
        <v>1538</v>
      </c>
      <c r="M500" s="15" t="s">
        <v>1539</v>
      </c>
      <c r="N500" s="15" t="s">
        <v>1540</v>
      </c>
      <c r="O500" s="15" t="s">
        <v>1541</v>
      </c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 t="s">
        <v>1542</v>
      </c>
      <c r="AM500" s="15" t="s">
        <v>1539</v>
      </c>
      <c r="AN500" s="15"/>
      <c r="AO500" s="15"/>
      <c r="AP500" s="15" t="s">
        <v>1543</v>
      </c>
      <c r="AQ500" s="15" t="s">
        <v>1544</v>
      </c>
      <c r="AR500" s="15"/>
      <c r="AS500" s="15"/>
      <c r="AT500" s="15"/>
      <c r="AU500" s="15"/>
    </row>
    <row r="501" spans="1:47" ht="16" customHeight="1" x14ac:dyDescent="0.2">
      <c r="A501" s="13" t="s">
        <v>1545</v>
      </c>
      <c r="B501" s="13" t="s">
        <v>59</v>
      </c>
      <c r="C501" s="13" t="s">
        <v>1546</v>
      </c>
      <c r="D501" s="13" t="s">
        <v>80</v>
      </c>
      <c r="E501" s="13" t="s">
        <v>62</v>
      </c>
      <c r="F501" s="13"/>
      <c r="G501" s="13" t="s">
        <v>1547</v>
      </c>
      <c r="H501" s="14">
        <v>43293</v>
      </c>
      <c r="I501" s="13"/>
      <c r="J501" s="13"/>
      <c r="K501" s="13" t="str">
        <f t="shared" ref="K501:K520" si="18">IF(A501="","","https://en.wikipedia.org/wiki/"&amp;SUBSTITUTE(A501," ","_")&amp;IF(D501="township","_Township","")&amp;",_New_Jersey")</f>
        <v>https://en.wikipedia.org/wiki/Union_Beach,_New_Jersey</v>
      </c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</row>
    <row r="502" spans="1:47" ht="16" customHeight="1" x14ac:dyDescent="0.2">
      <c r="A502" s="15" t="s">
        <v>1548</v>
      </c>
      <c r="B502" s="15" t="s">
        <v>157</v>
      </c>
      <c r="C502" s="15" t="s">
        <v>1549</v>
      </c>
      <c r="D502" s="15" t="s">
        <v>67</v>
      </c>
      <c r="E502" s="15" t="s">
        <v>72</v>
      </c>
      <c r="F502" s="15">
        <v>155</v>
      </c>
      <c r="G502" s="15" t="s">
        <v>1550</v>
      </c>
      <c r="H502" s="16">
        <v>45279</v>
      </c>
      <c r="I502" s="15" t="s">
        <v>1550</v>
      </c>
      <c r="J502" s="15" t="s">
        <v>2088</v>
      </c>
      <c r="K502" s="13" t="str">
        <f t="shared" si="18"/>
        <v>https://en.wikipedia.org/wiki/Union_City,_New_Jersey</v>
      </c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</row>
    <row r="503" spans="1:47" ht="16" customHeight="1" x14ac:dyDescent="0.2">
      <c r="A503" s="13" t="s">
        <v>1551</v>
      </c>
      <c r="B503" s="13" t="s">
        <v>130</v>
      </c>
      <c r="C503" s="13" t="s">
        <v>1552</v>
      </c>
      <c r="D503" s="13" t="s">
        <v>61</v>
      </c>
      <c r="E503" s="13" t="s">
        <v>62</v>
      </c>
      <c r="F503" s="13"/>
      <c r="G503" s="13" t="s">
        <v>1553</v>
      </c>
      <c r="H503" s="14">
        <v>42946</v>
      </c>
      <c r="I503" s="13" t="s">
        <v>1553</v>
      </c>
      <c r="J503" s="13" t="s">
        <v>1554</v>
      </c>
      <c r="K503" s="13" t="str">
        <f t="shared" si="18"/>
        <v>https://en.wikipedia.org/wiki/Upper_Township,_New_Jersey</v>
      </c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</row>
    <row r="504" spans="1:47" ht="16" customHeight="1" x14ac:dyDescent="0.2">
      <c r="A504" s="15" t="s">
        <v>1555</v>
      </c>
      <c r="B504" s="15" t="s">
        <v>263</v>
      </c>
      <c r="C504" s="15" t="s">
        <v>1556</v>
      </c>
      <c r="D504" s="15" t="s">
        <v>61</v>
      </c>
      <c r="E504" s="15" t="s">
        <v>72</v>
      </c>
      <c r="F504" s="15">
        <v>204</v>
      </c>
      <c r="G504" t="s">
        <v>1557</v>
      </c>
      <c r="H504" s="16">
        <v>45466</v>
      </c>
      <c r="I504" s="15" t="s">
        <v>1557</v>
      </c>
      <c r="J504" s="15" t="s">
        <v>2089</v>
      </c>
      <c r="K504" s="13" t="str">
        <f t="shared" si="18"/>
        <v>https://en.wikipedia.org/wiki/Upper_Deerfield_Township,_New_Jersey</v>
      </c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</row>
    <row r="505" spans="1:47" ht="16" customHeight="1" x14ac:dyDescent="0.2">
      <c r="A505" s="13" t="s">
        <v>1558</v>
      </c>
      <c r="B505" s="13" t="s">
        <v>59</v>
      </c>
      <c r="C505" s="13" t="s">
        <v>1559</v>
      </c>
      <c r="D505" s="13" t="s">
        <v>61</v>
      </c>
      <c r="E505" s="13" t="s">
        <v>72</v>
      </c>
      <c r="F505" s="13">
        <v>287</v>
      </c>
      <c r="G505" s="13" t="s">
        <v>1560</v>
      </c>
      <c r="H505" s="14">
        <v>46140</v>
      </c>
      <c r="I505" s="13" t="s">
        <v>1560</v>
      </c>
      <c r="J505" s="13" t="s">
        <v>1561</v>
      </c>
      <c r="K505" s="13" t="str">
        <f t="shared" si="18"/>
        <v>https://en.wikipedia.org/wiki/Upper_Freehold_Township,_New_Jersey</v>
      </c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</row>
    <row r="506" spans="1:47" ht="16" customHeight="1" x14ac:dyDescent="0.2">
      <c r="A506" s="15" t="s">
        <v>1562</v>
      </c>
      <c r="B506" s="15" t="s">
        <v>96</v>
      </c>
      <c r="C506" s="15" t="s">
        <v>1563</v>
      </c>
      <c r="D506" s="15" t="s">
        <v>61</v>
      </c>
      <c r="E506" s="15" t="s">
        <v>68</v>
      </c>
      <c r="F506" s="15"/>
      <c r="G506" s="15"/>
      <c r="H506" s="16"/>
      <c r="I506" s="15"/>
      <c r="J506" s="15"/>
      <c r="K506" s="13" t="str">
        <f t="shared" si="18"/>
        <v>https://en.wikipedia.org/wiki/Upper_Pittsgrove_Township,_New_Jersey</v>
      </c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</row>
    <row r="507" spans="1:47" ht="16" customHeight="1" x14ac:dyDescent="0.2">
      <c r="A507" s="13" t="s">
        <v>1564</v>
      </c>
      <c r="B507" s="13" t="s">
        <v>78</v>
      </c>
      <c r="C507" s="13" t="s">
        <v>1565</v>
      </c>
      <c r="D507" s="13" t="s">
        <v>80</v>
      </c>
      <c r="E507" s="13" t="s">
        <v>72</v>
      </c>
      <c r="F507" s="13">
        <v>240</v>
      </c>
      <c r="G507" s="13" t="s">
        <v>1566</v>
      </c>
      <c r="H507" s="68" t="s">
        <v>1567</v>
      </c>
      <c r="I507" s="13" t="s">
        <v>2090</v>
      </c>
      <c r="J507" s="13" t="s">
        <v>2091</v>
      </c>
      <c r="K507" s="13" t="str">
        <f t="shared" si="18"/>
        <v>https://en.wikipedia.org/wiki/Upper_Saddle_River,_New_Jersey</v>
      </c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</row>
    <row r="508" spans="1:47" ht="16" customHeight="1" x14ac:dyDescent="0.2">
      <c r="A508" s="15" t="s">
        <v>1568</v>
      </c>
      <c r="B508" s="15" t="s">
        <v>65</v>
      </c>
      <c r="C508" s="15" t="s">
        <v>1569</v>
      </c>
      <c r="D508" s="15" t="s">
        <v>67</v>
      </c>
      <c r="E508" s="15" t="s">
        <v>68</v>
      </c>
      <c r="F508" s="15"/>
      <c r="G508" s="15"/>
      <c r="H508" s="16"/>
      <c r="I508" s="15"/>
      <c r="J508" s="15"/>
      <c r="K508" s="13" t="str">
        <f t="shared" si="18"/>
        <v>https://en.wikipedia.org/wiki/Ventnor_City,_New_Jersey</v>
      </c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</row>
    <row r="509" spans="1:47" ht="16" customHeight="1" x14ac:dyDescent="0.2">
      <c r="A509" s="13" t="s">
        <v>1570</v>
      </c>
      <c r="B509" s="13" t="s">
        <v>106</v>
      </c>
      <c r="C509" s="13" t="s">
        <v>1571</v>
      </c>
      <c r="D509" s="13" t="s">
        <v>61</v>
      </c>
      <c r="E509" s="13" t="s">
        <v>62</v>
      </c>
      <c r="F509" s="13"/>
      <c r="G509" s="13" t="s">
        <v>1250</v>
      </c>
      <c r="H509" s="14">
        <v>44124</v>
      </c>
      <c r="I509" s="13" t="s">
        <v>2092</v>
      </c>
      <c r="J509" s="13" t="s">
        <v>2093</v>
      </c>
      <c r="K509" s="13" t="str">
        <f t="shared" si="18"/>
        <v>https://en.wikipedia.org/wiki/Vernon_Township,_New_Jersey</v>
      </c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</row>
    <row r="510" spans="1:47" ht="16" customHeight="1" x14ac:dyDescent="0.2">
      <c r="A510" s="15" t="s">
        <v>1572</v>
      </c>
      <c r="B510" s="15" t="s">
        <v>178</v>
      </c>
      <c r="C510" s="15" t="s">
        <v>1573</v>
      </c>
      <c r="D510" s="15" t="s">
        <v>61</v>
      </c>
      <c r="E510" s="15" t="s">
        <v>68</v>
      </c>
      <c r="F510" s="15"/>
      <c r="G510" s="15"/>
      <c r="H510" s="16"/>
      <c r="I510" s="15"/>
      <c r="J510" s="15"/>
      <c r="K510" s="13" t="str">
        <f t="shared" si="18"/>
        <v>https://en.wikipedia.org/wiki/Verona_Township,_New_Jersey</v>
      </c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</row>
    <row r="511" spans="1:47" ht="16" customHeight="1" x14ac:dyDescent="0.2">
      <c r="A511" s="13" t="s">
        <v>1574</v>
      </c>
      <c r="B511" s="13" t="s">
        <v>236</v>
      </c>
      <c r="C511" s="13" t="s">
        <v>1575</v>
      </c>
      <c r="D511" s="13" t="s">
        <v>80</v>
      </c>
      <c r="E511" s="13" t="s">
        <v>68</v>
      </c>
      <c r="F511" s="13"/>
      <c r="G511" s="13"/>
      <c r="H511" s="14"/>
      <c r="I511" s="13"/>
      <c r="J511" s="13"/>
      <c r="K511" s="13" t="str">
        <f t="shared" si="18"/>
        <v>https://en.wikipedia.org/wiki/Victory_Gardens,_New_Jersey</v>
      </c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</row>
    <row r="512" spans="1:47" ht="16" customHeight="1" x14ac:dyDescent="0.2">
      <c r="A512" s="15" t="s">
        <v>1576</v>
      </c>
      <c r="B512" s="15" t="s">
        <v>263</v>
      </c>
      <c r="C512" s="15" t="s">
        <v>1577</v>
      </c>
      <c r="D512" s="15" t="s">
        <v>67</v>
      </c>
      <c r="E512" s="15" t="s">
        <v>72</v>
      </c>
      <c r="F512" s="15">
        <v>206</v>
      </c>
      <c r="G512" t="s">
        <v>1578</v>
      </c>
      <c r="H512" s="16">
        <v>45466</v>
      </c>
      <c r="I512" s="15" t="s">
        <v>2094</v>
      </c>
      <c r="J512" s="15" t="s">
        <v>2095</v>
      </c>
      <c r="K512" s="13" t="str">
        <f t="shared" si="18"/>
        <v>https://en.wikipedia.org/wiki/Vineland,_New_Jersey</v>
      </c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</row>
    <row r="513" spans="1:47" ht="16" customHeight="1" x14ac:dyDescent="0.2">
      <c r="A513" s="13" t="s">
        <v>1579</v>
      </c>
      <c r="B513" s="13" t="s">
        <v>123</v>
      </c>
      <c r="C513" s="13" t="s">
        <v>1580</v>
      </c>
      <c r="D513" s="13" t="s">
        <v>61</v>
      </c>
      <c r="E513" s="13" t="s">
        <v>68</v>
      </c>
      <c r="F513" s="13"/>
      <c r="G513" s="13"/>
      <c r="H513" s="14"/>
      <c r="I513" s="13"/>
      <c r="J513" s="13"/>
      <c r="K513" s="13" t="str">
        <f t="shared" si="18"/>
        <v>https://en.wikipedia.org/wiki/Voorhees_Township,_New_Jersey</v>
      </c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</row>
    <row r="514" spans="1:47" ht="16" customHeight="1" x14ac:dyDescent="0.2">
      <c r="A514" s="15" t="s">
        <v>1581</v>
      </c>
      <c r="B514" s="15" t="s">
        <v>78</v>
      </c>
      <c r="C514" s="15" t="s">
        <v>1582</v>
      </c>
      <c r="D514" s="15" t="s">
        <v>80</v>
      </c>
      <c r="E514" s="15" t="s">
        <v>68</v>
      </c>
      <c r="F514" s="15"/>
      <c r="G514" s="15"/>
      <c r="H514" s="16"/>
      <c r="I514" s="15"/>
      <c r="J514" s="15"/>
      <c r="K514" s="13" t="str">
        <f t="shared" si="18"/>
        <v>https://en.wikipedia.org/wiki/Waldwick,_New_Jersey</v>
      </c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</row>
    <row r="515" spans="1:47" ht="16" customHeight="1" x14ac:dyDescent="0.2">
      <c r="A515" s="13" t="s">
        <v>1583</v>
      </c>
      <c r="B515" s="13" t="s">
        <v>59</v>
      </c>
      <c r="C515" s="13" t="s">
        <v>1584</v>
      </c>
      <c r="D515" s="13" t="s">
        <v>61</v>
      </c>
      <c r="E515" s="13" t="s">
        <v>72</v>
      </c>
      <c r="F515" s="13">
        <v>149</v>
      </c>
      <c r="G515" s="13" t="s">
        <v>1585</v>
      </c>
      <c r="H515" s="14">
        <v>45263</v>
      </c>
      <c r="I515" s="13" t="s">
        <v>2096</v>
      </c>
      <c r="J515" s="13" t="s">
        <v>2097</v>
      </c>
      <c r="K515" s="13" t="str">
        <f t="shared" si="18"/>
        <v>https://en.wikipedia.org/wiki/Wall_Township,_New_Jersey</v>
      </c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</row>
    <row r="516" spans="1:47" ht="16" customHeight="1" x14ac:dyDescent="0.2">
      <c r="A516" s="15" t="s">
        <v>1586</v>
      </c>
      <c r="B516" s="15" t="s">
        <v>78</v>
      </c>
      <c r="C516" s="15" t="s">
        <v>1587</v>
      </c>
      <c r="D516" s="15" t="s">
        <v>80</v>
      </c>
      <c r="E516" s="15" t="s">
        <v>68</v>
      </c>
      <c r="F516" s="15"/>
      <c r="G516" s="15"/>
      <c r="H516" s="16"/>
      <c r="I516" s="15"/>
      <c r="J516" s="15"/>
      <c r="K516" s="13" t="str">
        <f t="shared" si="18"/>
        <v>https://en.wikipedia.org/wiki/Wallington,_New_Jersey</v>
      </c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</row>
    <row r="517" spans="1:47" ht="16" customHeight="1" x14ac:dyDescent="0.2">
      <c r="A517" s="13" t="s">
        <v>1588</v>
      </c>
      <c r="B517" s="13" t="s">
        <v>106</v>
      </c>
      <c r="C517" s="13" t="s">
        <v>1589</v>
      </c>
      <c r="D517" s="13" t="s">
        <v>61</v>
      </c>
      <c r="E517" s="13" t="s">
        <v>72</v>
      </c>
      <c r="F517" s="13">
        <v>174</v>
      </c>
      <c r="G517" s="13" t="s">
        <v>1590</v>
      </c>
      <c r="H517" s="14">
        <v>45326</v>
      </c>
      <c r="I517" s="13" t="s">
        <v>2098</v>
      </c>
      <c r="J517" s="13" t="s">
        <v>2099</v>
      </c>
      <c r="K517" s="13" t="str">
        <f t="shared" si="18"/>
        <v>https://en.wikipedia.org/wiki/Walpack_Township,_New_Jersey</v>
      </c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</row>
    <row r="518" spans="1:47" ht="16" customHeight="1" x14ac:dyDescent="0.2">
      <c r="A518" s="15" t="s">
        <v>1591</v>
      </c>
      <c r="B518" s="15" t="s">
        <v>229</v>
      </c>
      <c r="C518" s="15" t="s">
        <v>1592</v>
      </c>
      <c r="D518" s="15" t="s">
        <v>80</v>
      </c>
      <c r="E518" s="15" t="s">
        <v>68</v>
      </c>
      <c r="F518" s="15"/>
      <c r="G518" s="15"/>
      <c r="H518" s="16"/>
      <c r="I518" s="15"/>
      <c r="J518" s="15"/>
      <c r="K518" s="13" t="str">
        <f t="shared" si="18"/>
        <v>https://en.wikipedia.org/wiki/Wanaque,_New_Jersey</v>
      </c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</row>
    <row r="519" spans="1:47" ht="16" customHeight="1" x14ac:dyDescent="0.2">
      <c r="A519" s="13" t="s">
        <v>1593</v>
      </c>
      <c r="B519" s="13" t="s">
        <v>106</v>
      </c>
      <c r="C519" s="13" t="s">
        <v>1594</v>
      </c>
      <c r="D519" s="13" t="s">
        <v>61</v>
      </c>
      <c r="E519" s="13" t="s">
        <v>72</v>
      </c>
      <c r="F519" s="13">
        <v>132</v>
      </c>
      <c r="G519" s="13" t="s">
        <v>1595</v>
      </c>
      <c r="H519" s="14">
        <v>45227</v>
      </c>
      <c r="I519" s="13"/>
      <c r="J519" s="13"/>
      <c r="K519" s="13" t="str">
        <f t="shared" si="18"/>
        <v>https://en.wikipedia.org/wiki/Wantage_Township,_New_Jersey</v>
      </c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</row>
    <row r="520" spans="1:47" ht="16" customHeight="1" x14ac:dyDescent="0.2">
      <c r="A520" s="15" t="s">
        <v>75</v>
      </c>
      <c r="B520" s="15" t="s">
        <v>175</v>
      </c>
      <c r="C520" s="15" t="s">
        <v>1596</v>
      </c>
      <c r="D520" s="15" t="s">
        <v>61</v>
      </c>
      <c r="E520" s="15" t="s">
        <v>72</v>
      </c>
      <c r="F520" s="15">
        <v>169</v>
      </c>
      <c r="G520" s="15" t="s">
        <v>1597</v>
      </c>
      <c r="H520" s="16">
        <v>45312</v>
      </c>
      <c r="I520" s="15" t="s">
        <v>2100</v>
      </c>
      <c r="J520" s="15" t="s">
        <v>2101</v>
      </c>
      <c r="K520" s="13" t="str">
        <f t="shared" si="18"/>
        <v>https://en.wikipedia.org/wiki/Warren_Township,_New_Jersey</v>
      </c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</row>
    <row r="521" spans="1:47" ht="16" customHeight="1" x14ac:dyDescent="0.2">
      <c r="A521" s="13" t="s">
        <v>1598</v>
      </c>
      <c r="B521" s="13" t="s">
        <v>78</v>
      </c>
      <c r="C521" s="13" t="s">
        <v>1599</v>
      </c>
      <c r="D521" s="13" t="s">
        <v>61</v>
      </c>
      <c r="E521" s="13" t="s">
        <v>68</v>
      </c>
      <c r="F521" s="13"/>
      <c r="G521" s="13"/>
      <c r="H521" s="14"/>
      <c r="I521" s="13"/>
      <c r="J521" s="13"/>
      <c r="K521" s="13" t="s">
        <v>1600</v>
      </c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</row>
    <row r="522" spans="1:47" ht="16" customHeight="1" x14ac:dyDescent="0.2">
      <c r="A522" s="15" t="s">
        <v>1598</v>
      </c>
      <c r="B522" s="15" t="s">
        <v>150</v>
      </c>
      <c r="C522" s="15" t="s">
        <v>1601</v>
      </c>
      <c r="D522" s="15" t="s">
        <v>61</v>
      </c>
      <c r="E522" s="15" t="s">
        <v>72</v>
      </c>
      <c r="F522" s="15">
        <v>225</v>
      </c>
      <c r="G522" t="s">
        <v>1602</v>
      </c>
      <c r="H522" s="16">
        <v>45529</v>
      </c>
      <c r="I522" s="15"/>
      <c r="J522" s="15"/>
      <c r="K522" s="13" t="s">
        <v>1603</v>
      </c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</row>
    <row r="523" spans="1:47" ht="16" customHeight="1" x14ac:dyDescent="0.2">
      <c r="A523" s="13" t="s">
        <v>1598</v>
      </c>
      <c r="B523" s="13" t="s">
        <v>346</v>
      </c>
      <c r="C523" s="13" t="s">
        <v>1604</v>
      </c>
      <c r="D523" s="13" t="s">
        <v>61</v>
      </c>
      <c r="E523" s="13" t="s">
        <v>72</v>
      </c>
      <c r="F523" s="13">
        <v>135</v>
      </c>
      <c r="G523" t="s">
        <v>1605</v>
      </c>
      <c r="H523" s="14">
        <v>45235</v>
      </c>
      <c r="I523" s="13" t="s">
        <v>1605</v>
      </c>
      <c r="J523" s="13" t="s">
        <v>2102</v>
      </c>
      <c r="K523" s="13" t="s">
        <v>1606</v>
      </c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</row>
    <row r="524" spans="1:47" ht="16" customHeight="1" x14ac:dyDescent="0.2">
      <c r="A524" s="15" t="s">
        <v>1598</v>
      </c>
      <c r="B524" s="15" t="s">
        <v>236</v>
      </c>
      <c r="C524" s="15" t="s">
        <v>1607</v>
      </c>
      <c r="D524" s="15" t="s">
        <v>61</v>
      </c>
      <c r="E524" s="15" t="s">
        <v>68</v>
      </c>
      <c r="F524" s="15"/>
      <c r="G524" s="15"/>
      <c r="H524" s="16"/>
      <c r="I524" s="15"/>
      <c r="J524" s="15"/>
      <c r="K524" s="13" t="s">
        <v>1608</v>
      </c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</row>
    <row r="525" spans="1:47" ht="16" customHeight="1" x14ac:dyDescent="0.2">
      <c r="A525" s="13" t="s">
        <v>1598</v>
      </c>
      <c r="B525" s="13" t="s">
        <v>75</v>
      </c>
      <c r="C525" s="13" t="s">
        <v>1609</v>
      </c>
      <c r="D525" s="13" t="s">
        <v>80</v>
      </c>
      <c r="E525" s="13" t="s">
        <v>72</v>
      </c>
      <c r="F525" s="13">
        <v>244</v>
      </c>
      <c r="G525" s="13" t="s">
        <v>1610</v>
      </c>
      <c r="H525" s="14">
        <v>45599</v>
      </c>
      <c r="I525" s="13" t="s">
        <v>2103</v>
      </c>
      <c r="J525" s="13" t="s">
        <v>2104</v>
      </c>
      <c r="K525" s="13" t="s">
        <v>1611</v>
      </c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</row>
    <row r="526" spans="1:47" ht="16" customHeight="1" x14ac:dyDescent="0.2">
      <c r="A526" s="15" t="s">
        <v>1598</v>
      </c>
      <c r="B526" s="15" t="s">
        <v>75</v>
      </c>
      <c r="C526" s="15" t="s">
        <v>1612</v>
      </c>
      <c r="D526" s="15" t="s">
        <v>61</v>
      </c>
      <c r="E526" s="15" t="s">
        <v>68</v>
      </c>
      <c r="F526" s="15"/>
      <c r="G526" s="15"/>
      <c r="H526" s="16"/>
      <c r="I526" s="15"/>
      <c r="J526" s="15"/>
      <c r="K526" s="13" t="s">
        <v>1613</v>
      </c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</row>
    <row r="527" spans="1:47" ht="16" customHeight="1" x14ac:dyDescent="0.2">
      <c r="A527" s="13" t="s">
        <v>1614</v>
      </c>
      <c r="B527" s="13" t="s">
        <v>175</v>
      </c>
      <c r="C527" s="13" t="s">
        <v>1615</v>
      </c>
      <c r="D527" s="13" t="s">
        <v>80</v>
      </c>
      <c r="E527" s="13" t="s">
        <v>83</v>
      </c>
      <c r="F527" s="13">
        <v>94</v>
      </c>
      <c r="G527" s="13" t="s">
        <v>1616</v>
      </c>
      <c r="H527" s="14">
        <v>45137</v>
      </c>
      <c r="I527" s="13" t="s">
        <v>2105</v>
      </c>
      <c r="J527" s="13" t="s">
        <v>2106</v>
      </c>
      <c r="K527" s="13" t="str">
        <f t="shared" ref="K527:K566" si="19">IF(A527="","","https://en.wikipedia.org/wiki/"&amp;SUBSTITUTE(A527," ","_")&amp;IF(D527="township","_Township","")&amp;",_New_Jersey")</f>
        <v>https://en.wikipedia.org/wiki/Watchung,_New_Jersey</v>
      </c>
      <c r="L527" s="13" t="s">
        <v>1617</v>
      </c>
      <c r="M527" s="13" t="s">
        <v>1618</v>
      </c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 t="s">
        <v>1619</v>
      </c>
      <c r="AM527" s="13" t="s">
        <v>1620</v>
      </c>
      <c r="AN527" s="13"/>
      <c r="AO527" s="13"/>
      <c r="AP527" s="13"/>
      <c r="AQ527" s="13"/>
      <c r="AR527" s="13"/>
      <c r="AS527" s="13"/>
      <c r="AT527" s="13"/>
      <c r="AU527" s="13"/>
    </row>
    <row r="528" spans="1:47" ht="16" customHeight="1" x14ac:dyDescent="0.2">
      <c r="A528" s="15" t="s">
        <v>1621</v>
      </c>
      <c r="B528" s="15" t="s">
        <v>123</v>
      </c>
      <c r="C528" s="15" t="s">
        <v>1622</v>
      </c>
      <c r="D528" s="15" t="s">
        <v>61</v>
      </c>
      <c r="E528" s="15" t="s">
        <v>68</v>
      </c>
      <c r="F528" s="15"/>
      <c r="G528" s="15"/>
      <c r="H528" s="16"/>
      <c r="I528" s="15"/>
      <c r="J528" s="15"/>
      <c r="K528" s="13" t="str">
        <f t="shared" si="19"/>
        <v>https://en.wikipedia.org/wiki/Waterford_Township,_New_Jersey</v>
      </c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</row>
    <row r="529" spans="1:47" ht="16" customHeight="1" x14ac:dyDescent="0.2">
      <c r="A529" s="13" t="s">
        <v>1623</v>
      </c>
      <c r="B529" s="13" t="s">
        <v>229</v>
      </c>
      <c r="C529" s="13" t="s">
        <v>1624</v>
      </c>
      <c r="D529" s="13" t="s">
        <v>61</v>
      </c>
      <c r="E529" s="13" t="s">
        <v>68</v>
      </c>
      <c r="F529" s="13"/>
      <c r="G529" s="13"/>
      <c r="H529" s="14"/>
      <c r="I529" s="13"/>
      <c r="J529" s="13"/>
      <c r="K529" s="13" t="str">
        <f t="shared" si="19"/>
        <v>https://en.wikipedia.org/wiki/Wayne_Township,_New_Jersey</v>
      </c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</row>
    <row r="530" spans="1:47" ht="16" customHeight="1" x14ac:dyDescent="0.2">
      <c r="A530" s="15" t="s">
        <v>1625</v>
      </c>
      <c r="B530" s="15" t="s">
        <v>157</v>
      </c>
      <c r="C530" s="15" t="s">
        <v>1626</v>
      </c>
      <c r="D530" s="15" t="s">
        <v>61</v>
      </c>
      <c r="E530" s="15" t="s">
        <v>62</v>
      </c>
      <c r="F530" s="15"/>
      <c r="G530" s="15" t="s">
        <v>1627</v>
      </c>
      <c r="H530" s="16">
        <v>42722</v>
      </c>
      <c r="I530" s="15" t="s">
        <v>2107</v>
      </c>
      <c r="J530" s="15" t="s">
        <v>2108</v>
      </c>
      <c r="K530" s="13" t="str">
        <f t="shared" si="19"/>
        <v>https://en.wikipedia.org/wiki/Weehawken_Township,_New_Jersey</v>
      </c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</row>
    <row r="531" spans="1:47" ht="16" customHeight="1" x14ac:dyDescent="0.2">
      <c r="A531" s="13" t="s">
        <v>1628</v>
      </c>
      <c r="B531" s="13" t="s">
        <v>346</v>
      </c>
      <c r="C531" s="13" t="s">
        <v>1629</v>
      </c>
      <c r="D531" s="13" t="s">
        <v>80</v>
      </c>
      <c r="E531" s="13" t="s">
        <v>68</v>
      </c>
      <c r="F531" s="13"/>
      <c r="G531" s="13"/>
      <c r="H531" s="14"/>
      <c r="I531" s="13"/>
      <c r="J531" s="13"/>
      <c r="K531" s="13" t="str">
        <f t="shared" si="19"/>
        <v>https://en.wikipedia.org/wiki/Wenonah,_New_Jersey</v>
      </c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</row>
    <row r="532" spans="1:47" ht="16" customHeight="1" x14ac:dyDescent="0.2">
      <c r="A532" s="15" t="s">
        <v>1630</v>
      </c>
      <c r="B532" s="15" t="s">
        <v>70</v>
      </c>
      <c r="C532" s="15" t="s">
        <v>1631</v>
      </c>
      <c r="D532" s="15" t="s">
        <v>61</v>
      </c>
      <c r="E532" s="15" t="s">
        <v>72</v>
      </c>
      <c r="F532" s="15">
        <v>154</v>
      </c>
      <c r="G532" s="15" t="s">
        <v>1632</v>
      </c>
      <c r="H532" s="16">
        <v>45270</v>
      </c>
      <c r="I532" s="15"/>
      <c r="J532" s="15"/>
      <c r="K532" s="13" t="str">
        <f t="shared" si="19"/>
        <v>https://en.wikipedia.org/wiki/West_Amwell_Township,_New_Jersey</v>
      </c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</row>
    <row r="533" spans="1:47" ht="16" customHeight="1" x14ac:dyDescent="0.2">
      <c r="A533" s="13" t="s">
        <v>1633</v>
      </c>
      <c r="B533" s="13" t="s">
        <v>178</v>
      </c>
      <c r="C533" s="13" t="s">
        <v>1634</v>
      </c>
      <c r="D533" s="13" t="s">
        <v>61</v>
      </c>
      <c r="E533" s="13" t="s">
        <v>68</v>
      </c>
      <c r="F533" s="13"/>
      <c r="G533" s="13"/>
      <c r="H533" s="14"/>
      <c r="I533" s="13"/>
      <c r="J533" s="13"/>
      <c r="K533" s="13" t="str">
        <f t="shared" si="19"/>
        <v>https://en.wikipedia.org/wiki/West_Caldwell_Township,_New_Jersey</v>
      </c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</row>
    <row r="534" spans="1:47" ht="16" customHeight="1" x14ac:dyDescent="0.2">
      <c r="A534" s="15" t="s">
        <v>1635</v>
      </c>
      <c r="B534" s="15" t="s">
        <v>130</v>
      </c>
      <c r="C534" s="15" t="s">
        <v>1636</v>
      </c>
      <c r="D534" s="15" t="s">
        <v>80</v>
      </c>
      <c r="E534" s="15" t="s">
        <v>68</v>
      </c>
      <c r="F534" s="15"/>
      <c r="G534" s="15"/>
      <c r="H534" s="16"/>
      <c r="I534" s="15"/>
      <c r="J534" s="15"/>
      <c r="K534" s="13" t="str">
        <f t="shared" si="19"/>
        <v>https://en.wikipedia.org/wiki/West_Cape_May,_New_Jersey</v>
      </c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</row>
    <row r="535" spans="1:47" ht="16" customHeight="1" x14ac:dyDescent="0.2">
      <c r="A535" s="13" t="s">
        <v>1637</v>
      </c>
      <c r="B535" s="13" t="s">
        <v>346</v>
      </c>
      <c r="C535" s="13" t="s">
        <v>1638</v>
      </c>
      <c r="D535" s="13" t="s">
        <v>61</v>
      </c>
      <c r="E535" s="13" t="s">
        <v>68</v>
      </c>
      <c r="F535" s="13"/>
      <c r="G535" s="13"/>
      <c r="H535" s="14"/>
      <c r="I535" s="13"/>
      <c r="J535" s="13"/>
      <c r="K535" s="13" t="str">
        <f t="shared" si="19"/>
        <v>https://en.wikipedia.org/wiki/West_Deptford_Township,_New_Jersey</v>
      </c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</row>
    <row r="536" spans="1:47" ht="16" customHeight="1" x14ac:dyDescent="0.2">
      <c r="A536" s="15" t="s">
        <v>1639</v>
      </c>
      <c r="B536" s="15" t="s">
        <v>59</v>
      </c>
      <c r="C536" s="15" t="s">
        <v>1640</v>
      </c>
      <c r="D536" s="15" t="s">
        <v>80</v>
      </c>
      <c r="E536" s="15" t="s">
        <v>72</v>
      </c>
      <c r="F536" s="15">
        <v>131</v>
      </c>
      <c r="G536" s="15" t="s">
        <v>1641</v>
      </c>
      <c r="H536" s="16">
        <v>45224</v>
      </c>
      <c r="I536" s="15"/>
      <c r="J536" s="15"/>
      <c r="K536" s="13" t="str">
        <f t="shared" si="19"/>
        <v>https://en.wikipedia.org/wiki/West_Long_Branch,_New_Jersey</v>
      </c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</row>
    <row r="537" spans="1:47" ht="16" customHeight="1" x14ac:dyDescent="0.2">
      <c r="A537" s="13" t="s">
        <v>1642</v>
      </c>
      <c r="B537" s="13" t="s">
        <v>229</v>
      </c>
      <c r="C537" s="13" t="s">
        <v>1643</v>
      </c>
      <c r="D537" s="13" t="s">
        <v>61</v>
      </c>
      <c r="E537" s="13" t="s">
        <v>72</v>
      </c>
      <c r="F537" s="13">
        <v>231</v>
      </c>
      <c r="G537" s="13" t="s">
        <v>1644</v>
      </c>
      <c r="H537" s="14">
        <v>45537</v>
      </c>
      <c r="I537" s="13" t="s">
        <v>2109</v>
      </c>
      <c r="J537" s="13" t="s">
        <v>2110</v>
      </c>
      <c r="K537" s="13" t="str">
        <f t="shared" si="19"/>
        <v>https://en.wikipedia.org/wiki/West_Milford_Township,_New_Jersey</v>
      </c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</row>
    <row r="538" spans="1:47" ht="16" customHeight="1" x14ac:dyDescent="0.2">
      <c r="A538" s="15" t="s">
        <v>1645</v>
      </c>
      <c r="B538" s="15" t="s">
        <v>157</v>
      </c>
      <c r="C538" s="15" t="s">
        <v>1646</v>
      </c>
      <c r="D538" s="15" t="s">
        <v>189</v>
      </c>
      <c r="E538" s="15" t="s">
        <v>62</v>
      </c>
      <c r="F538" s="15"/>
      <c r="G538" s="15" t="s">
        <v>1647</v>
      </c>
      <c r="H538" s="16">
        <v>42939</v>
      </c>
      <c r="I538" s="15" t="s">
        <v>2111</v>
      </c>
      <c r="J538" s="15" t="s">
        <v>2112</v>
      </c>
      <c r="K538" s="13" t="str">
        <f t="shared" si="19"/>
        <v>https://en.wikipedia.org/wiki/West_New_York,_New_Jersey</v>
      </c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</row>
    <row r="539" spans="1:47" ht="16" customHeight="1" x14ac:dyDescent="0.2">
      <c r="A539" s="13" t="s">
        <v>1648</v>
      </c>
      <c r="B539" s="13" t="s">
        <v>178</v>
      </c>
      <c r="C539" s="13" t="s">
        <v>1649</v>
      </c>
      <c r="D539" s="13" t="s">
        <v>61</v>
      </c>
      <c r="E539" s="13" t="s">
        <v>72</v>
      </c>
      <c r="F539" s="13">
        <v>229</v>
      </c>
      <c r="G539" s="13" t="s">
        <v>1650</v>
      </c>
      <c r="H539" s="14">
        <v>45536</v>
      </c>
      <c r="I539" s="13" t="s">
        <v>1650</v>
      </c>
      <c r="J539" s="13" t="s">
        <v>2113</v>
      </c>
      <c r="K539" s="13" t="str">
        <f t="shared" si="19"/>
        <v>https://en.wikipedia.org/wiki/West_Orange_Township,_New_Jersey</v>
      </c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</row>
    <row r="540" spans="1:47" ht="16" customHeight="1" x14ac:dyDescent="0.2">
      <c r="A540" s="15" t="s">
        <v>1651</v>
      </c>
      <c r="B540" s="15" t="s">
        <v>130</v>
      </c>
      <c r="C540" s="15" t="s">
        <v>1652</v>
      </c>
      <c r="D540" s="15" t="s">
        <v>80</v>
      </c>
      <c r="E540" s="15" t="s">
        <v>68</v>
      </c>
      <c r="F540" s="15"/>
      <c r="G540" s="15"/>
      <c r="H540" s="16"/>
      <c r="I540" s="15"/>
      <c r="J540" s="15"/>
      <c r="K540" s="13" t="str">
        <f t="shared" si="19"/>
        <v>https://en.wikipedia.org/wiki/West_Wildwood,_New_Jersey</v>
      </c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</row>
    <row r="541" spans="1:47" ht="16" customHeight="1" x14ac:dyDescent="0.2">
      <c r="A541" s="13" t="s">
        <v>1653</v>
      </c>
      <c r="B541" s="13" t="s">
        <v>462</v>
      </c>
      <c r="C541" s="13" t="s">
        <v>1654</v>
      </c>
      <c r="D541" s="13" t="s">
        <v>61</v>
      </c>
      <c r="E541" s="13" t="s">
        <v>62</v>
      </c>
      <c r="F541" s="13">
        <v>98</v>
      </c>
      <c r="G541" s="13" t="s">
        <v>1655</v>
      </c>
      <c r="H541" s="14">
        <v>44870</v>
      </c>
      <c r="I541" s="13" t="s">
        <v>2114</v>
      </c>
      <c r="J541" s="13" t="s">
        <v>2115</v>
      </c>
      <c r="K541" s="13" t="str">
        <f t="shared" si="19"/>
        <v>https://en.wikipedia.org/wiki/West_Windsor_Township,_New_Jersey</v>
      </c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</row>
    <row r="542" spans="1:47" ht="16" customHeight="1" x14ac:dyDescent="0.2">
      <c r="A542" s="15" t="s">
        <v>1656</v>
      </c>
      <c r="B542" s="15" t="s">
        <v>150</v>
      </c>
      <c r="C542" s="15" t="s">
        <v>1657</v>
      </c>
      <c r="D542" s="15" t="s">
        <v>61</v>
      </c>
      <c r="E542" s="15" t="s">
        <v>72</v>
      </c>
      <c r="F542" s="15">
        <v>270</v>
      </c>
      <c r="G542" t="s">
        <v>1658</v>
      </c>
      <c r="H542" s="16">
        <v>45782</v>
      </c>
      <c r="I542" s="15" t="s">
        <v>1658</v>
      </c>
      <c r="J542" s="15" t="s">
        <v>2116</v>
      </c>
      <c r="K542" s="13" t="str">
        <f t="shared" si="19"/>
        <v>https://en.wikipedia.org/wiki/Westampton_Township,_New_Jersey</v>
      </c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</row>
    <row r="543" spans="1:47" ht="16" customHeight="1" x14ac:dyDescent="0.2">
      <c r="A543" s="13" t="s">
        <v>1659</v>
      </c>
      <c r="B543" s="13" t="s">
        <v>197</v>
      </c>
      <c r="C543" s="13" t="s">
        <v>1660</v>
      </c>
      <c r="D543" s="13" t="s">
        <v>189</v>
      </c>
      <c r="E543" s="13" t="s">
        <v>72</v>
      </c>
      <c r="F543" s="13">
        <v>290</v>
      </c>
      <c r="G543" s="13" t="s">
        <v>2132</v>
      </c>
      <c r="H543" s="14">
        <v>46229</v>
      </c>
      <c r="I543" s="13" t="s">
        <v>2132</v>
      </c>
      <c r="J543" s="13" t="s">
        <v>2133</v>
      </c>
      <c r="K543" s="13" t="str">
        <f t="shared" si="19"/>
        <v>https://en.wikipedia.org/wiki/Westfield,_New_Jersey</v>
      </c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</row>
    <row r="544" spans="1:47" ht="16" customHeight="1" x14ac:dyDescent="0.2">
      <c r="A544" s="15" t="s">
        <v>1661</v>
      </c>
      <c r="B544" s="15" t="s">
        <v>346</v>
      </c>
      <c r="C544" s="15" t="s">
        <v>1662</v>
      </c>
      <c r="D544" s="15" t="s">
        <v>80</v>
      </c>
      <c r="E544" s="15" t="s">
        <v>68</v>
      </c>
      <c r="F544" s="15"/>
      <c r="G544" s="15"/>
      <c r="H544" s="16"/>
      <c r="I544" s="15"/>
      <c r="J544" s="15"/>
      <c r="K544" s="13" t="str">
        <f t="shared" si="19"/>
        <v>https://en.wikipedia.org/wiki/Westville,_New_Jersey</v>
      </c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</row>
    <row r="545" spans="1:47" ht="16" customHeight="1" x14ac:dyDescent="0.2">
      <c r="A545" s="13" t="s">
        <v>1663</v>
      </c>
      <c r="B545" s="13" t="s">
        <v>78</v>
      </c>
      <c r="C545" s="13" t="s">
        <v>1664</v>
      </c>
      <c r="D545" s="13" t="s">
        <v>80</v>
      </c>
      <c r="E545" s="13" t="s">
        <v>68</v>
      </c>
      <c r="F545" s="13"/>
      <c r="G545" s="13"/>
      <c r="H545" s="14"/>
      <c r="I545" s="13"/>
      <c r="J545" s="13"/>
      <c r="K545" s="13" t="str">
        <f t="shared" si="19"/>
        <v>https://en.wikipedia.org/wiki/Westwood,_New_Jersey</v>
      </c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</row>
    <row r="546" spans="1:47" ht="16" customHeight="1" x14ac:dyDescent="0.2">
      <c r="A546" s="15" t="s">
        <v>1665</v>
      </c>
      <c r="B546" s="15" t="s">
        <v>65</v>
      </c>
      <c r="C546" s="15" t="s">
        <v>1666</v>
      </c>
      <c r="D546" s="15" t="s">
        <v>61</v>
      </c>
      <c r="E546" s="15" t="s">
        <v>68</v>
      </c>
      <c r="F546" s="15"/>
      <c r="G546" s="15"/>
      <c r="H546" s="16"/>
      <c r="I546" s="15"/>
      <c r="J546" s="15"/>
      <c r="K546" s="13" t="str">
        <f t="shared" si="19"/>
        <v>https://en.wikipedia.org/wiki/Weymouth_Township,_New_Jersey</v>
      </c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</row>
    <row r="547" spans="1:47" ht="16" customHeight="1" x14ac:dyDescent="0.2">
      <c r="A547" s="13" t="s">
        <v>1667</v>
      </c>
      <c r="B547" s="13" t="s">
        <v>236</v>
      </c>
      <c r="C547" s="13" t="s">
        <v>1668</v>
      </c>
      <c r="D547" s="13" t="s">
        <v>80</v>
      </c>
      <c r="E547" s="13" t="s">
        <v>68</v>
      </c>
      <c r="F547" s="13"/>
      <c r="G547" s="13"/>
      <c r="H547" s="14"/>
      <c r="I547" s="13"/>
      <c r="J547" s="13"/>
      <c r="K547" s="13" t="str">
        <f t="shared" si="19"/>
        <v>https://en.wikipedia.org/wiki/Wharton,_New_Jersey</v>
      </c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</row>
    <row r="548" spans="1:47" ht="16" customHeight="1" x14ac:dyDescent="0.2">
      <c r="A548" s="15" t="s">
        <v>1669</v>
      </c>
      <c r="B548" s="15" t="s">
        <v>75</v>
      </c>
      <c r="C548" s="15" t="s">
        <v>1670</v>
      </c>
      <c r="D548" s="15" t="s">
        <v>61</v>
      </c>
      <c r="E548" s="15" t="s">
        <v>72</v>
      </c>
      <c r="F548" s="15">
        <v>237</v>
      </c>
      <c r="G548" s="15" t="s">
        <v>1671</v>
      </c>
      <c r="H548" s="16">
        <v>45571</v>
      </c>
      <c r="I548" s="15" t="s">
        <v>1671</v>
      </c>
      <c r="J548" s="15" t="s">
        <v>2117</v>
      </c>
      <c r="K548" s="13" t="str">
        <f t="shared" si="19"/>
        <v>https://en.wikipedia.org/wiki/White_Township,_New_Jersey</v>
      </c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</row>
    <row r="549" spans="1:47" ht="16" customHeight="1" x14ac:dyDescent="0.2">
      <c r="A549" s="13" t="s">
        <v>1672</v>
      </c>
      <c r="B549" s="13" t="s">
        <v>130</v>
      </c>
      <c r="C549" s="13" t="s">
        <v>1673</v>
      </c>
      <c r="D549" s="13" t="s">
        <v>67</v>
      </c>
      <c r="E549" s="13" t="s">
        <v>62</v>
      </c>
      <c r="F549" s="13"/>
      <c r="G549" s="13" t="s">
        <v>1674</v>
      </c>
      <c r="H549" s="14">
        <v>42919</v>
      </c>
      <c r="I549" s="13" t="s">
        <v>1674</v>
      </c>
      <c r="J549" s="13" t="s">
        <v>2118</v>
      </c>
      <c r="K549" s="13" t="str">
        <f t="shared" si="19"/>
        <v>https://en.wikipedia.org/wiki/Wildwood,_New_Jersey</v>
      </c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</row>
    <row r="550" spans="1:47" ht="16" customHeight="1" x14ac:dyDescent="0.2">
      <c r="A550" s="15" t="s">
        <v>1675</v>
      </c>
      <c r="B550" s="15" t="s">
        <v>130</v>
      </c>
      <c r="C550" s="15" t="s">
        <v>1676</v>
      </c>
      <c r="D550" s="15" t="s">
        <v>80</v>
      </c>
      <c r="E550" s="15" t="s">
        <v>68</v>
      </c>
      <c r="F550" s="15"/>
      <c r="G550" s="15"/>
      <c r="H550" s="16"/>
      <c r="I550" s="15"/>
      <c r="J550" s="15"/>
      <c r="K550" s="13" t="str">
        <f t="shared" si="19"/>
        <v>https://en.wikipedia.org/wiki/Wildwood_Crest,_New_Jersey</v>
      </c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</row>
    <row r="551" spans="1:47" ht="16" customHeight="1" x14ac:dyDescent="0.2">
      <c r="A551" s="13" t="s">
        <v>1677</v>
      </c>
      <c r="B551" s="13" t="s">
        <v>150</v>
      </c>
      <c r="C551" s="13" t="s">
        <v>1678</v>
      </c>
      <c r="D551" s="13" t="s">
        <v>61</v>
      </c>
      <c r="E551" s="13" t="s">
        <v>83</v>
      </c>
      <c r="F551" s="13">
        <v>88</v>
      </c>
      <c r="G551" t="s">
        <v>1679</v>
      </c>
      <c r="H551" s="14">
        <v>45116</v>
      </c>
      <c r="I551" s="13" t="s">
        <v>1679</v>
      </c>
      <c r="J551" s="13" t="s">
        <v>2119</v>
      </c>
      <c r="K551" s="13" t="str">
        <f t="shared" si="19"/>
        <v>https://en.wikipedia.org/wiki/Willingboro_Township,_New_Jersey</v>
      </c>
      <c r="L551" s="13" t="s">
        <v>1680</v>
      </c>
      <c r="M551" s="13" t="s">
        <v>1681</v>
      </c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 t="s">
        <v>1680</v>
      </c>
      <c r="AG551" s="13" t="s">
        <v>1682</v>
      </c>
      <c r="AH551" s="13"/>
      <c r="AI551" s="13"/>
      <c r="AJ551" s="13"/>
      <c r="AK551" s="13"/>
      <c r="AL551" s="13" t="s">
        <v>1683</v>
      </c>
      <c r="AM551" s="13" t="s">
        <v>1681</v>
      </c>
      <c r="AN551" s="13"/>
      <c r="AO551" s="13"/>
      <c r="AP551" s="13"/>
      <c r="AQ551" s="13"/>
      <c r="AR551" s="13"/>
      <c r="AS551" s="13"/>
      <c r="AT551" s="13"/>
      <c r="AU551" s="13"/>
    </row>
    <row r="552" spans="1:47" ht="16" customHeight="1" x14ac:dyDescent="0.2">
      <c r="A552" s="15" t="s">
        <v>1684</v>
      </c>
      <c r="B552" s="15" t="s">
        <v>197</v>
      </c>
      <c r="C552" s="15" t="s">
        <v>1685</v>
      </c>
      <c r="D552" s="15" t="s">
        <v>61</v>
      </c>
      <c r="E552" s="15" t="s">
        <v>68</v>
      </c>
      <c r="F552" s="15"/>
      <c r="G552" s="15"/>
      <c r="H552" s="16"/>
      <c r="I552" s="15"/>
      <c r="J552" s="15"/>
      <c r="K552" s="13" t="str">
        <f t="shared" si="19"/>
        <v>https://en.wikipedia.org/wiki/Winfield_Township,_New_Jersey</v>
      </c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</row>
    <row r="553" spans="1:47" ht="16" customHeight="1" x14ac:dyDescent="0.2">
      <c r="A553" s="13" t="s">
        <v>1686</v>
      </c>
      <c r="B553" s="13" t="s">
        <v>123</v>
      </c>
      <c r="C553" s="13" t="s">
        <v>1687</v>
      </c>
      <c r="D553" s="13" t="s">
        <v>61</v>
      </c>
      <c r="E553" s="13" t="s">
        <v>68</v>
      </c>
      <c r="F553" s="13"/>
      <c r="G553" s="13"/>
      <c r="H553" s="14"/>
      <c r="I553" s="13"/>
      <c r="J553" s="13"/>
      <c r="K553" s="13" t="str">
        <f t="shared" si="19"/>
        <v>https://en.wikipedia.org/wiki/Winslow_Township,_New_Jersey</v>
      </c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</row>
    <row r="554" spans="1:47" ht="16" customHeight="1" x14ac:dyDescent="0.2">
      <c r="A554" s="15" t="s">
        <v>1688</v>
      </c>
      <c r="B554" s="15" t="s">
        <v>78</v>
      </c>
      <c r="C554" s="15" t="s">
        <v>1689</v>
      </c>
      <c r="D554" s="15" t="s">
        <v>80</v>
      </c>
      <c r="E554" s="15" t="s">
        <v>68</v>
      </c>
      <c r="F554" s="15"/>
      <c r="G554" s="15"/>
      <c r="H554" s="16"/>
      <c r="I554" s="15"/>
      <c r="J554" s="15"/>
      <c r="K554" s="13" t="str">
        <f t="shared" si="19"/>
        <v>https://en.wikipedia.org/wiki/Wood-Ridge,_New_Jersey</v>
      </c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</row>
    <row r="555" spans="1:47" ht="16" customHeight="1" x14ac:dyDescent="0.2">
      <c r="A555" s="13" t="s">
        <v>1690</v>
      </c>
      <c r="B555" s="13" t="s">
        <v>130</v>
      </c>
      <c r="C555" s="13" t="s">
        <v>1691</v>
      </c>
      <c r="D555" s="13" t="s">
        <v>80</v>
      </c>
      <c r="E555" s="13" t="s">
        <v>68</v>
      </c>
      <c r="F555" s="13"/>
      <c r="G555" s="13"/>
      <c r="H555" s="14"/>
      <c r="I555" s="13"/>
      <c r="J555" s="13"/>
      <c r="K555" s="13" t="str">
        <f t="shared" si="19"/>
        <v>https://en.wikipedia.org/wiki/Woodbine,_New_Jersey</v>
      </c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</row>
    <row r="556" spans="1:47" ht="16" customHeight="1" x14ac:dyDescent="0.2">
      <c r="A556" s="15" t="s">
        <v>1692</v>
      </c>
      <c r="B556" s="15" t="s">
        <v>314</v>
      </c>
      <c r="C556" s="15" t="s">
        <v>1693</v>
      </c>
      <c r="D556" s="15" t="s">
        <v>61</v>
      </c>
      <c r="E556" s="15" t="s">
        <v>62</v>
      </c>
      <c r="F556" s="15"/>
      <c r="G556" s="15" t="s">
        <v>1694</v>
      </c>
      <c r="H556" s="16">
        <v>44934</v>
      </c>
      <c r="I556" s="15"/>
      <c r="J556" s="15"/>
      <c r="K556" s="13" t="str">
        <f t="shared" si="19"/>
        <v>https://en.wikipedia.org/wiki/Woodbridge_Township,_New_Jersey</v>
      </c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</row>
    <row r="557" spans="1:47" ht="16" customHeight="1" x14ac:dyDescent="0.2">
      <c r="A557" s="13" t="s">
        <v>1695</v>
      </c>
      <c r="B557" s="13" t="s">
        <v>346</v>
      </c>
      <c r="C557" s="13" t="s">
        <v>1696</v>
      </c>
      <c r="D557" s="13" t="s">
        <v>67</v>
      </c>
      <c r="E557" s="13" t="s">
        <v>72</v>
      </c>
      <c r="F557" s="13">
        <v>187</v>
      </c>
      <c r="G557" t="s">
        <v>1697</v>
      </c>
      <c r="H557" s="14">
        <v>45396</v>
      </c>
      <c r="I557" s="13" t="s">
        <v>2120</v>
      </c>
      <c r="J557" s="13" t="s">
        <v>2121</v>
      </c>
      <c r="K557" s="13" t="str">
        <f t="shared" si="19"/>
        <v>https://en.wikipedia.org/wiki/Woodbury,_New_Jersey</v>
      </c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</row>
    <row r="558" spans="1:47" ht="16" customHeight="1" x14ac:dyDescent="0.2">
      <c r="A558" s="15" t="s">
        <v>1698</v>
      </c>
      <c r="B558" s="15" t="s">
        <v>346</v>
      </c>
      <c r="C558" s="15" t="s">
        <v>1699</v>
      </c>
      <c r="D558" s="15" t="s">
        <v>80</v>
      </c>
      <c r="E558" s="15" t="s">
        <v>72</v>
      </c>
      <c r="F558" s="15">
        <v>280</v>
      </c>
      <c r="G558" t="s">
        <v>1700</v>
      </c>
      <c r="H558" s="16">
        <v>45937</v>
      </c>
      <c r="I558" s="15" t="s">
        <v>2122</v>
      </c>
      <c r="J558" s="15" t="s">
        <v>2123</v>
      </c>
      <c r="K558" s="13" t="str">
        <f t="shared" si="19"/>
        <v>https://en.wikipedia.org/wiki/Woodbury_Heights,_New_Jersey</v>
      </c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</row>
    <row r="559" spans="1:47" ht="16" customHeight="1" x14ac:dyDescent="0.2">
      <c r="A559" s="13" t="s">
        <v>1701</v>
      </c>
      <c r="B559" s="13" t="s">
        <v>78</v>
      </c>
      <c r="C559" s="13" t="s">
        <v>1702</v>
      </c>
      <c r="D559" s="13" t="s">
        <v>80</v>
      </c>
      <c r="E559" s="13" t="s">
        <v>68</v>
      </c>
      <c r="F559" s="13"/>
      <c r="G559" s="13"/>
      <c r="H559" s="14"/>
      <c r="I559" s="13"/>
      <c r="J559" s="13"/>
      <c r="K559" s="13" t="str">
        <f t="shared" si="19"/>
        <v>https://en.wikipedia.org/wiki/Woodcliff_Lake,_New_Jersey</v>
      </c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</row>
    <row r="560" spans="1:47" ht="16" customHeight="1" x14ac:dyDescent="0.2">
      <c r="A560" s="15" t="s">
        <v>1703</v>
      </c>
      <c r="B560" s="15" t="s">
        <v>150</v>
      </c>
      <c r="C560" s="15" t="s">
        <v>1704</v>
      </c>
      <c r="D560" s="15" t="s">
        <v>61</v>
      </c>
      <c r="E560" s="15" t="s">
        <v>72</v>
      </c>
      <c r="F560" s="15">
        <v>242</v>
      </c>
      <c r="G560" t="s">
        <v>1705</v>
      </c>
      <c r="H560" s="16">
        <v>45584</v>
      </c>
      <c r="I560" s="15"/>
      <c r="J560" s="15"/>
      <c r="K560" s="13" t="str">
        <f t="shared" si="19"/>
        <v>https://en.wikipedia.org/wiki/Woodland_Township,_New_Jersey</v>
      </c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</row>
    <row r="561" spans="1:47" ht="16" customHeight="1" x14ac:dyDescent="0.2">
      <c r="A561" s="13" t="s">
        <v>1706</v>
      </c>
      <c r="B561" s="13" t="s">
        <v>229</v>
      </c>
      <c r="C561" s="13" t="s">
        <v>1707</v>
      </c>
      <c r="D561" s="13" t="s">
        <v>80</v>
      </c>
      <c r="E561" s="13" t="s">
        <v>68</v>
      </c>
      <c r="F561" s="13"/>
      <c r="G561" s="13"/>
      <c r="H561" s="14"/>
      <c r="I561" s="13"/>
      <c r="J561" s="13"/>
      <c r="K561" s="13" t="str">
        <f t="shared" si="19"/>
        <v>https://en.wikipedia.org/wiki/Woodland_Park,_New_Jersey</v>
      </c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</row>
    <row r="562" spans="1:47" ht="16" customHeight="1" x14ac:dyDescent="0.2">
      <c r="A562" s="15" t="s">
        <v>1708</v>
      </c>
      <c r="B562" s="15" t="s">
        <v>123</v>
      </c>
      <c r="C562" s="15" t="s">
        <v>1709</v>
      </c>
      <c r="D562" s="15" t="s">
        <v>80</v>
      </c>
      <c r="E562" s="15" t="s">
        <v>72</v>
      </c>
      <c r="F562" s="15">
        <v>268</v>
      </c>
      <c r="G562" s="15" t="s">
        <v>1710</v>
      </c>
      <c r="H562" s="67" t="s">
        <v>1711</v>
      </c>
      <c r="I562" s="15" t="s">
        <v>1710</v>
      </c>
      <c r="J562" s="15" t="s">
        <v>2124</v>
      </c>
      <c r="K562" s="13" t="str">
        <f t="shared" si="19"/>
        <v>https://en.wikipedia.org/wiki/Woodlynne,_New_Jersey</v>
      </c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</row>
    <row r="563" spans="1:47" ht="16" customHeight="1" x14ac:dyDescent="0.2">
      <c r="A563" s="13" t="s">
        <v>1712</v>
      </c>
      <c r="B563" s="13" t="s">
        <v>96</v>
      </c>
      <c r="C563" s="13" t="s">
        <v>1713</v>
      </c>
      <c r="D563" s="13" t="s">
        <v>80</v>
      </c>
      <c r="E563" s="13" t="s">
        <v>72</v>
      </c>
      <c r="F563" s="13">
        <v>221</v>
      </c>
      <c r="G563" t="s">
        <v>1714</v>
      </c>
      <c r="H563" s="14">
        <v>45521</v>
      </c>
      <c r="I563" s="13" t="s">
        <v>1714</v>
      </c>
      <c r="J563" s="13" t="s">
        <v>2125</v>
      </c>
      <c r="K563" s="13" t="str">
        <f t="shared" si="19"/>
        <v>https://en.wikipedia.org/wiki/Woodstown,_New_Jersey</v>
      </c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</row>
    <row r="564" spans="1:47" ht="16" customHeight="1" x14ac:dyDescent="0.2">
      <c r="A564" s="15" t="s">
        <v>1715</v>
      </c>
      <c r="B564" s="15" t="s">
        <v>346</v>
      </c>
      <c r="C564" s="15" t="s">
        <v>1716</v>
      </c>
      <c r="D564" s="15" t="s">
        <v>61</v>
      </c>
      <c r="E564" s="15" t="s">
        <v>72</v>
      </c>
      <c r="F564" s="15">
        <v>157</v>
      </c>
      <c r="G564" t="s">
        <v>1717</v>
      </c>
      <c r="H564" s="16">
        <v>45283</v>
      </c>
      <c r="I564" s="15" t="s">
        <v>2092</v>
      </c>
      <c r="J564" s="15" t="s">
        <v>2093</v>
      </c>
      <c r="K564" s="13" t="str">
        <f t="shared" si="19"/>
        <v>https://en.wikipedia.org/wiki/Woolwich_Township,_New_Jersey</v>
      </c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</row>
    <row r="565" spans="1:47" ht="16" customHeight="1" x14ac:dyDescent="0.2">
      <c r="A565" s="13" t="s">
        <v>1718</v>
      </c>
      <c r="B565" s="13" t="s">
        <v>150</v>
      </c>
      <c r="C565" s="13" t="s">
        <v>1719</v>
      </c>
      <c r="D565" s="13" t="s">
        <v>80</v>
      </c>
      <c r="E565" s="13" t="s">
        <v>68</v>
      </c>
      <c r="F565" s="13"/>
      <c r="G565" s="13"/>
      <c r="H565" s="14"/>
      <c r="I565" s="13"/>
      <c r="J565" s="13"/>
      <c r="K565" s="13" t="str">
        <f t="shared" si="19"/>
        <v>https://en.wikipedia.org/wiki/Wrightstown,_New_Jersey</v>
      </c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</row>
    <row r="566" spans="1:47" ht="16" customHeight="1" x14ac:dyDescent="0.2">
      <c r="A566" s="15" t="s">
        <v>1720</v>
      </c>
      <c r="B566" s="15" t="s">
        <v>78</v>
      </c>
      <c r="C566" s="15" t="s">
        <v>1721</v>
      </c>
      <c r="D566" s="15" t="s">
        <v>61</v>
      </c>
      <c r="E566" s="15" t="s">
        <v>68</v>
      </c>
      <c r="F566" s="15"/>
      <c r="G566" s="15"/>
      <c r="H566" s="16"/>
      <c r="I566" s="15"/>
      <c r="J566" s="15"/>
      <c r="K566" s="13" t="str">
        <f t="shared" si="19"/>
        <v>https://en.wikipedia.org/wiki/Wyckoff_Township,_New_Jersey</v>
      </c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</row>
    <row r="567" spans="1:47" x14ac:dyDescent="0.2">
      <c r="H567" s="17"/>
    </row>
    <row r="568" spans="1:47" x14ac:dyDescent="0.2">
      <c r="H568" s="17"/>
    </row>
    <row r="569" spans="1:47" x14ac:dyDescent="0.2">
      <c r="H569" s="17"/>
    </row>
    <row r="570" spans="1:47" x14ac:dyDescent="0.2">
      <c r="H570" s="17"/>
    </row>
    <row r="571" spans="1:47" x14ac:dyDescent="0.2">
      <c r="H571" s="17"/>
    </row>
    <row r="572" spans="1:47" x14ac:dyDescent="0.2">
      <c r="H572" s="17"/>
    </row>
    <row r="573" spans="1:47" x14ac:dyDescent="0.2">
      <c r="H573" s="17"/>
    </row>
    <row r="574" spans="1:47" x14ac:dyDescent="0.2">
      <c r="H574" s="17"/>
    </row>
    <row r="575" spans="1:47" x14ac:dyDescent="0.2">
      <c r="H575" s="17"/>
    </row>
    <row r="576" spans="1:47" x14ac:dyDescent="0.2">
      <c r="H576" s="17"/>
    </row>
    <row r="577" spans="8:8" x14ac:dyDescent="0.2">
      <c r="H577" s="17"/>
    </row>
    <row r="578" spans="8:8" x14ac:dyDescent="0.2">
      <c r="H578" s="17"/>
    </row>
    <row r="579" spans="8:8" x14ac:dyDescent="0.2">
      <c r="H579" s="17"/>
    </row>
    <row r="580" spans="8:8" x14ac:dyDescent="0.2">
      <c r="H580" s="17"/>
    </row>
    <row r="581" spans="8:8" x14ac:dyDescent="0.2">
      <c r="H581" s="17"/>
    </row>
    <row r="582" spans="8:8" x14ac:dyDescent="0.2">
      <c r="H582" s="17"/>
    </row>
    <row r="583" spans="8:8" x14ac:dyDescent="0.2">
      <c r="H583" s="17"/>
    </row>
    <row r="584" spans="8:8" x14ac:dyDescent="0.2">
      <c r="H584" s="17"/>
    </row>
    <row r="585" spans="8:8" x14ac:dyDescent="0.2">
      <c r="H585" s="17"/>
    </row>
    <row r="586" spans="8:8" x14ac:dyDescent="0.2">
      <c r="H586" s="17"/>
    </row>
    <row r="587" spans="8:8" x14ac:dyDescent="0.2">
      <c r="H587" s="17"/>
    </row>
    <row r="588" spans="8:8" x14ac:dyDescent="0.2">
      <c r="H588" s="17"/>
    </row>
    <row r="589" spans="8:8" x14ac:dyDescent="0.2">
      <c r="H589" s="17"/>
    </row>
    <row r="590" spans="8:8" x14ac:dyDescent="0.2">
      <c r="H590" s="17"/>
    </row>
    <row r="591" spans="8:8" x14ac:dyDescent="0.2">
      <c r="H591" s="17"/>
    </row>
    <row r="592" spans="8:8" x14ac:dyDescent="0.2">
      <c r="H592" s="17"/>
    </row>
    <row r="593" spans="8:8" x14ac:dyDescent="0.2">
      <c r="H593" s="17"/>
    </row>
    <row r="594" spans="8:8" x14ac:dyDescent="0.2">
      <c r="H594" s="17"/>
    </row>
    <row r="595" spans="8:8" x14ac:dyDescent="0.2">
      <c r="H595" s="17"/>
    </row>
    <row r="596" spans="8:8" x14ac:dyDescent="0.2">
      <c r="H596" s="17"/>
    </row>
    <row r="597" spans="8:8" x14ac:dyDescent="0.2">
      <c r="H597" s="17"/>
    </row>
    <row r="598" spans="8:8" x14ac:dyDescent="0.2">
      <c r="H598" s="17"/>
    </row>
    <row r="599" spans="8:8" x14ac:dyDescent="0.2">
      <c r="H599" s="17"/>
    </row>
    <row r="600" spans="8:8" x14ac:dyDescent="0.2">
      <c r="H600" s="17"/>
    </row>
    <row r="601" spans="8:8" x14ac:dyDescent="0.2">
      <c r="H601" s="17"/>
    </row>
    <row r="602" spans="8:8" x14ac:dyDescent="0.2">
      <c r="H602" s="17"/>
    </row>
  </sheetData>
  <autoFilter ref="A2:AU602" xr:uid="{00000000-0009-0000-0000-000000000000}"/>
  <mergeCells count="10">
    <mergeCell ref="I1:J1"/>
    <mergeCell ref="A1:D1"/>
    <mergeCell ref="AJ1:AU1"/>
    <mergeCell ref="X1:AA1"/>
    <mergeCell ref="E1:H1"/>
    <mergeCell ref="AB1:AE1"/>
    <mergeCell ref="AF1:AI1"/>
    <mergeCell ref="L1:O1"/>
    <mergeCell ref="P1:S1"/>
    <mergeCell ref="T1:W1"/>
  </mergeCells>
  <dataValidations count="1">
    <dataValidation type="list" allowBlank="1" showErrorMessage="1" errorTitle="Invalid status" error="Must be one of: unvisited, visited, queued, pre-challenge" sqref="E3:E600" xr:uid="{00000000-0002-0000-0000-000000000000}">
      <formula1>"unvisited,visited,queued,pre-challenge"</formula1>
    </dataValidation>
  </dataValidations>
  <hyperlinks>
    <hyperlink ref="J58" r:id="rId1" xr:uid="{00000000-0004-0000-0000-000000000000}"/>
    <hyperlink ref="J72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selection sqref="A1:E1"/>
    </sheetView>
  </sheetViews>
  <sheetFormatPr baseColWidth="10" defaultColWidth="8.83203125" defaultRowHeight="15" x14ac:dyDescent="0.2"/>
  <cols>
    <col min="1" max="1" width="18" customWidth="1"/>
    <col min="2" max="5" width="14" customWidth="1"/>
  </cols>
  <sheetData>
    <row r="1" spans="1:5" ht="28" customHeight="1" x14ac:dyDescent="0.2">
      <c r="A1" s="84" t="s">
        <v>1722</v>
      </c>
      <c r="B1" s="85"/>
      <c r="C1" s="85"/>
      <c r="D1" s="85"/>
      <c r="E1" s="85"/>
    </row>
    <row r="2" spans="1:5" ht="18" customHeight="1" x14ac:dyDescent="0.2">
      <c r="A2" s="18" t="s">
        <v>1723</v>
      </c>
      <c r="B2" s="19" t="s">
        <v>1724</v>
      </c>
      <c r="C2" s="20" t="s">
        <v>1725</v>
      </c>
      <c r="D2" s="21" t="s">
        <v>1726</v>
      </c>
    </row>
    <row r="3" spans="1:5" ht="24" customHeight="1" x14ac:dyDescent="0.2">
      <c r="A3" s="22">
        <f>COUNTA(Data!A3:A602)</f>
        <v>564</v>
      </c>
      <c r="B3" s="23">
        <f>COUNTIF(Data!E3:E602,"visited")+COUNTIF(Data!E3:E602,"queued")+COUNTIF(Data!E3:E602,"pre-challenge")</f>
        <v>291</v>
      </c>
      <c r="C3" s="24">
        <f>A3-B3</f>
        <v>273</v>
      </c>
      <c r="D3" s="25" t="str">
        <f>IF(A3&gt;0,TEXT(B3/A3,"0.0%"),"0.0%")</f>
        <v>51.6%</v>
      </c>
    </row>
    <row r="4" spans="1:5" ht="10" customHeight="1" x14ac:dyDescent="0.2"/>
    <row r="5" spans="1:5" ht="18" customHeight="1" x14ac:dyDescent="0.2">
      <c r="A5" s="26" t="s">
        <v>1727</v>
      </c>
      <c r="B5" s="26" t="s">
        <v>1723</v>
      </c>
      <c r="C5" s="26" t="s">
        <v>1724</v>
      </c>
      <c r="D5" s="26" t="s">
        <v>1725</v>
      </c>
      <c r="E5" s="26" t="s">
        <v>1726</v>
      </c>
    </row>
    <row r="6" spans="1:5" ht="15" customHeight="1" x14ac:dyDescent="0.2">
      <c r="A6" s="27" t="s">
        <v>65</v>
      </c>
      <c r="B6" s="28">
        <f>COUNTIF(Data!B3:B602,"Atlantic")</f>
        <v>23</v>
      </c>
      <c r="C6" s="28">
        <f>COUNTIFS(Data!B3:B602,"Atlantic",Data!E3:E602,"visited")+COUNTIFS(Data!B3:B602,"Atlantic",Data!E3:E602,"queued")+COUNTIFS(Data!B3:B602,"Atlantic",Data!E3:E602,"pre-challenge")</f>
        <v>8</v>
      </c>
      <c r="D6" s="28">
        <f t="shared" ref="D6:D26" si="0">B6-C6</f>
        <v>15</v>
      </c>
      <c r="E6" s="28" t="str">
        <f t="shared" ref="E6:E26" si="1">IF(B6&gt;0,TEXT(C6/B6,"0.0%"),"0.0%")</f>
        <v>34.8%</v>
      </c>
    </row>
    <row r="7" spans="1:5" ht="15" customHeight="1" x14ac:dyDescent="0.2">
      <c r="A7" s="29" t="s">
        <v>78</v>
      </c>
      <c r="B7" s="30">
        <f>COUNTIF(Data!B3:B602,"Bergen")</f>
        <v>70</v>
      </c>
      <c r="C7" s="30">
        <f>COUNTIFS(Data!B3:B602,"Bergen",Data!E3:E602,"visited")+COUNTIFS(Data!B3:B602,"Bergen",Data!E3:E602,"queued")+COUNTIFS(Data!B3:B602,"Bergen",Data!E3:E602,"pre-challenge")</f>
        <v>19</v>
      </c>
      <c r="D7" s="30">
        <f t="shared" si="0"/>
        <v>51</v>
      </c>
      <c r="E7" s="30" t="str">
        <f t="shared" si="1"/>
        <v>27.1%</v>
      </c>
    </row>
    <row r="8" spans="1:5" ht="15" customHeight="1" x14ac:dyDescent="0.2">
      <c r="A8" s="27" t="s">
        <v>150</v>
      </c>
      <c r="B8" s="28">
        <f>COUNTIF(Data!B3:B602,"Burlington")</f>
        <v>40</v>
      </c>
      <c r="C8" s="28">
        <f>COUNTIFS(Data!B3:B602,"Burlington",Data!E3:E602,"visited")+COUNTIFS(Data!B3:B602,"Burlington",Data!E3:E602,"queued")+COUNTIFS(Data!B3:B602,"Burlington",Data!E3:E602,"pre-challenge")</f>
        <v>20</v>
      </c>
      <c r="D8" s="28">
        <f t="shared" si="0"/>
        <v>20</v>
      </c>
      <c r="E8" s="28" t="str">
        <f t="shared" si="1"/>
        <v>50.0%</v>
      </c>
    </row>
    <row r="9" spans="1:5" ht="15" customHeight="1" x14ac:dyDescent="0.2">
      <c r="A9" s="29" t="s">
        <v>123</v>
      </c>
      <c r="B9" s="30">
        <f>COUNTIF(Data!B3:B602,"Camden")</f>
        <v>36</v>
      </c>
      <c r="C9" s="30">
        <f>COUNTIFS(Data!B3:B602,"Camden",Data!E3:E602,"visited")+COUNTIFS(Data!B3:B602,"Camden",Data!E3:E602,"queued")+COUNTIFS(Data!B3:B602,"Camden",Data!E3:E602,"pre-challenge")</f>
        <v>11</v>
      </c>
      <c r="D9" s="30">
        <f t="shared" si="0"/>
        <v>25</v>
      </c>
      <c r="E9" s="30" t="str">
        <f t="shared" si="1"/>
        <v>30.6%</v>
      </c>
    </row>
    <row r="10" spans="1:5" ht="15" customHeight="1" x14ac:dyDescent="0.2">
      <c r="A10" s="27" t="s">
        <v>130</v>
      </c>
      <c r="B10" s="28">
        <f>COUNTIF(Data!B3:B602,"Cape May")</f>
        <v>16</v>
      </c>
      <c r="C10" s="28">
        <f>COUNTIFS(Data!B3:B602,"Cape May",Data!E3:E602,"visited")+COUNTIFS(Data!B3:B602,"Cape May",Data!E3:E602,"queued")+COUNTIFS(Data!B3:B602,"Cape May",Data!E3:E602,"pre-challenge")</f>
        <v>6</v>
      </c>
      <c r="D10" s="28">
        <f t="shared" si="0"/>
        <v>10</v>
      </c>
      <c r="E10" s="28" t="str">
        <f t="shared" si="1"/>
        <v>37.5%</v>
      </c>
    </row>
    <row r="11" spans="1:5" ht="15" customHeight="1" x14ac:dyDescent="0.2">
      <c r="A11" s="29" t="s">
        <v>263</v>
      </c>
      <c r="B11" s="30">
        <f>COUNTIF(Data!B3:B602,"Cumberland")</f>
        <v>14</v>
      </c>
      <c r="C11" s="30">
        <f>COUNTIFS(Data!B3:B602,"Cumberland",Data!E3:E602,"visited")+COUNTIFS(Data!B3:B602,"Cumberland",Data!E3:E602,"queued")+COUNTIFS(Data!B3:B602,"Cumberland",Data!E3:E602,"pre-challenge")</f>
        <v>14</v>
      </c>
      <c r="D11" s="30">
        <f t="shared" si="0"/>
        <v>0</v>
      </c>
      <c r="E11" s="30" t="str">
        <f t="shared" si="1"/>
        <v>100.0%</v>
      </c>
    </row>
    <row r="12" spans="1:5" ht="15" customHeight="1" x14ac:dyDescent="0.2">
      <c r="A12" s="27" t="s">
        <v>178</v>
      </c>
      <c r="B12" s="28">
        <f>COUNTIF(Data!B3:B602,"Essex")</f>
        <v>22</v>
      </c>
      <c r="C12" s="28">
        <f>COUNTIFS(Data!B3:B602,"Essex",Data!E3:E602,"visited")+COUNTIFS(Data!B3:B602,"Essex",Data!E3:E602,"queued")+COUNTIFS(Data!B3:B602,"Essex",Data!E3:E602,"pre-challenge")</f>
        <v>9</v>
      </c>
      <c r="D12" s="28">
        <f t="shared" si="0"/>
        <v>13</v>
      </c>
      <c r="E12" s="28" t="str">
        <f t="shared" si="1"/>
        <v>40.9%</v>
      </c>
    </row>
    <row r="13" spans="1:5" ht="15" customHeight="1" x14ac:dyDescent="0.2">
      <c r="A13" s="29" t="s">
        <v>346</v>
      </c>
      <c r="B13" s="30">
        <f>COUNTIF(Data!B3:B602,"Gloucester")</f>
        <v>24</v>
      </c>
      <c r="C13" s="30">
        <f>COUNTIFS(Data!B3:B602,"Gloucester",Data!E3:E602,"visited")+COUNTIFS(Data!B3:B602,"Gloucester",Data!E3:E602,"queued")+COUNTIFS(Data!B3:B602,"Gloucester",Data!E3:E602,"pre-challenge")</f>
        <v>10</v>
      </c>
      <c r="D13" s="30">
        <f t="shared" si="0"/>
        <v>14</v>
      </c>
      <c r="E13" s="30" t="str">
        <f t="shared" si="1"/>
        <v>41.7%</v>
      </c>
    </row>
    <row r="14" spans="1:5" ht="15" customHeight="1" x14ac:dyDescent="0.2">
      <c r="A14" s="27" t="s">
        <v>157</v>
      </c>
      <c r="B14" s="28">
        <f>COUNTIF(Data!B3:B602,"Hudson")</f>
        <v>12</v>
      </c>
      <c r="C14" s="28">
        <f>COUNTIFS(Data!B3:B602,"Hudson",Data!E3:E602,"visited")+COUNTIFS(Data!B3:B602,"Hudson",Data!E3:E602,"queued")+COUNTIFS(Data!B3:B602,"Hudson",Data!E3:E602,"pre-challenge")</f>
        <v>11</v>
      </c>
      <c r="D14" s="28">
        <f t="shared" si="0"/>
        <v>1</v>
      </c>
      <c r="E14" s="28" t="str">
        <f t="shared" si="1"/>
        <v>91.7%</v>
      </c>
    </row>
    <row r="15" spans="1:5" ht="15" customHeight="1" x14ac:dyDescent="0.2">
      <c r="A15" s="29" t="s">
        <v>70</v>
      </c>
      <c r="B15" s="30">
        <f>COUNTIF(Data!B3:B602,"Hunterdon")</f>
        <v>26</v>
      </c>
      <c r="C15" s="30">
        <f>COUNTIFS(Data!B3:B602,"Hunterdon",Data!E3:E602,"visited")+COUNTIFS(Data!B3:B602,"Hunterdon",Data!E3:E602,"queued")+COUNTIFS(Data!B3:B602,"Hunterdon",Data!E3:E602,"pre-challenge")</f>
        <v>13</v>
      </c>
      <c r="D15" s="30">
        <f t="shared" si="0"/>
        <v>13</v>
      </c>
      <c r="E15" s="30" t="str">
        <f t="shared" si="1"/>
        <v>50.0%</v>
      </c>
    </row>
    <row r="16" spans="1:5" ht="15" customHeight="1" x14ac:dyDescent="0.2">
      <c r="A16" s="27" t="s">
        <v>462</v>
      </c>
      <c r="B16" s="28">
        <f>COUNTIF(Data!B3:B602,"Mercer")</f>
        <v>12</v>
      </c>
      <c r="C16" s="28">
        <f>COUNTIFS(Data!B3:B602,"Mercer",Data!E3:E602,"visited")+COUNTIFS(Data!B3:B602,"Mercer",Data!E3:E602,"queued")+COUNTIFS(Data!B3:B602,"Mercer",Data!E3:E602,"pre-challenge")</f>
        <v>10</v>
      </c>
      <c r="D16" s="28">
        <f t="shared" si="0"/>
        <v>2</v>
      </c>
      <c r="E16" s="28" t="str">
        <f t="shared" si="1"/>
        <v>83.3%</v>
      </c>
    </row>
    <row r="17" spans="1:5" ht="15" customHeight="1" x14ac:dyDescent="0.2">
      <c r="A17" s="29" t="s">
        <v>314</v>
      </c>
      <c r="B17" s="30">
        <f>COUNTIF(Data!B3:B602,"Middlesex")</f>
        <v>25</v>
      </c>
      <c r="C17" s="30">
        <f>COUNTIFS(Data!B3:B602,"Middlesex",Data!E3:E602,"visited")+COUNTIFS(Data!B3:B602,"Middlesex",Data!E3:E602,"queued")+COUNTIFS(Data!B3:B602,"Middlesex",Data!E3:E602,"pre-challenge")</f>
        <v>25</v>
      </c>
      <c r="D17" s="30">
        <f t="shared" si="0"/>
        <v>0</v>
      </c>
      <c r="E17" s="30" t="str">
        <f t="shared" si="1"/>
        <v>100.0%</v>
      </c>
    </row>
    <row r="18" spans="1:5" ht="15" customHeight="1" x14ac:dyDescent="0.2">
      <c r="A18" s="27" t="s">
        <v>59</v>
      </c>
      <c r="B18" s="28">
        <f>COUNTIF(Data!B3:B602,"Monmouth")</f>
        <v>53</v>
      </c>
      <c r="C18" s="28">
        <f>COUNTIFS(Data!B3:B602,"Monmouth",Data!E3:E602,"visited")+COUNTIFS(Data!B3:B602,"Monmouth",Data!E3:E602,"queued")+COUNTIFS(Data!B3:B602,"Monmouth",Data!E3:E602,"pre-challenge")</f>
        <v>44</v>
      </c>
      <c r="D18" s="28">
        <f t="shared" si="0"/>
        <v>9</v>
      </c>
      <c r="E18" s="28" t="str">
        <f t="shared" si="1"/>
        <v>83.0%</v>
      </c>
    </row>
    <row r="19" spans="1:5" ht="15" customHeight="1" x14ac:dyDescent="0.2">
      <c r="A19" s="29" t="s">
        <v>236</v>
      </c>
      <c r="B19" s="30">
        <f>COUNTIF(Data!B3:B602,"Morris")</f>
        <v>39</v>
      </c>
      <c r="C19" s="30">
        <f>COUNTIFS(Data!B3:B602,"Morris",Data!E3:E602,"visited")+COUNTIFS(Data!B3:B602,"Morris",Data!E3:E602,"queued")+COUNTIFS(Data!B3:B602,"Morris",Data!E3:E602,"pre-challenge")</f>
        <v>7</v>
      </c>
      <c r="D19" s="30">
        <f t="shared" si="0"/>
        <v>32</v>
      </c>
      <c r="E19" s="30" t="str">
        <f t="shared" si="1"/>
        <v>17.9%</v>
      </c>
    </row>
    <row r="20" spans="1:5" ht="15" customHeight="1" x14ac:dyDescent="0.2">
      <c r="A20" s="27" t="s">
        <v>139</v>
      </c>
      <c r="B20" s="28">
        <f>COUNTIF(Data!B3:B602,"Ocean")</f>
        <v>33</v>
      </c>
      <c r="C20" s="28">
        <f>COUNTIFS(Data!B3:B602,"Ocean",Data!E3:E602,"visited")+COUNTIFS(Data!B3:B602,"Ocean",Data!E3:E602,"queued")+COUNTIFS(Data!B3:B602,"Ocean",Data!E3:E602,"pre-challenge")</f>
        <v>24</v>
      </c>
      <c r="D20" s="28">
        <f t="shared" si="0"/>
        <v>9</v>
      </c>
      <c r="E20" s="28" t="str">
        <f t="shared" si="1"/>
        <v>72.7%</v>
      </c>
    </row>
    <row r="21" spans="1:5" ht="15" customHeight="1" x14ac:dyDescent="0.2">
      <c r="A21" s="29" t="s">
        <v>229</v>
      </c>
      <c r="B21" s="30">
        <f>COUNTIF(Data!B3:B602,"Passaic")</f>
        <v>16</v>
      </c>
      <c r="C21" s="30">
        <f>COUNTIFS(Data!B3:B602,"Passaic",Data!E3:E602,"visited")+COUNTIFS(Data!B3:B602,"Passaic",Data!E3:E602,"queued")+COUNTIFS(Data!B3:B602,"Passaic",Data!E3:E602,"pre-challenge")</f>
        <v>4</v>
      </c>
      <c r="D21" s="30">
        <f t="shared" si="0"/>
        <v>12</v>
      </c>
      <c r="E21" s="30" t="str">
        <f t="shared" si="1"/>
        <v>25.0%</v>
      </c>
    </row>
    <row r="22" spans="1:5" ht="15" customHeight="1" x14ac:dyDescent="0.2">
      <c r="A22" s="27" t="s">
        <v>96</v>
      </c>
      <c r="B22" s="28">
        <f>COUNTIF(Data!B3:B602,"Salem")</f>
        <v>15</v>
      </c>
      <c r="C22" s="28">
        <f>COUNTIFS(Data!B3:B602,"Salem",Data!E3:E602,"visited")+COUNTIFS(Data!B3:B602,"Salem",Data!E3:E602,"queued")+COUNTIFS(Data!B3:B602,"Salem",Data!E3:E602,"pre-challenge")</f>
        <v>10</v>
      </c>
      <c r="D22" s="28">
        <f t="shared" si="0"/>
        <v>5</v>
      </c>
      <c r="E22" s="28" t="str">
        <f t="shared" si="1"/>
        <v>66.7%</v>
      </c>
    </row>
    <row r="23" spans="1:5" ht="15" customHeight="1" x14ac:dyDescent="0.2">
      <c r="A23" s="29" t="s">
        <v>175</v>
      </c>
      <c r="B23" s="30">
        <f>COUNTIF(Data!B3:B602,"Somerset")</f>
        <v>21</v>
      </c>
      <c r="C23" s="30">
        <f>COUNTIFS(Data!B3:B602,"Somerset",Data!E3:E602,"visited")+COUNTIFS(Data!B3:B602,"Somerset",Data!E3:E602,"queued")+COUNTIFS(Data!B3:B602,"Somerset",Data!E3:E602,"pre-challenge")</f>
        <v>12</v>
      </c>
      <c r="D23" s="30">
        <f t="shared" si="0"/>
        <v>9</v>
      </c>
      <c r="E23" s="30" t="str">
        <f t="shared" si="1"/>
        <v>57.1%</v>
      </c>
    </row>
    <row r="24" spans="1:5" ht="15" customHeight="1" x14ac:dyDescent="0.2">
      <c r="A24" s="27" t="s">
        <v>106</v>
      </c>
      <c r="B24" s="28">
        <f>COUNTIF(Data!B3:B602,"Sussex")</f>
        <v>24</v>
      </c>
      <c r="C24" s="28">
        <f>COUNTIFS(Data!B3:B602,"Sussex",Data!E3:E602,"visited")+COUNTIFS(Data!B3:B602,"Sussex",Data!E3:E602,"queued")+COUNTIFS(Data!B3:B602,"Sussex",Data!E3:E602,"pre-challenge")</f>
        <v>12</v>
      </c>
      <c r="D24" s="28">
        <f t="shared" si="0"/>
        <v>12</v>
      </c>
      <c r="E24" s="28" t="str">
        <f t="shared" si="1"/>
        <v>50.0%</v>
      </c>
    </row>
    <row r="25" spans="1:5" ht="15" customHeight="1" x14ac:dyDescent="0.2">
      <c r="A25" s="29" t="s">
        <v>197</v>
      </c>
      <c r="B25" s="30">
        <f>COUNTIF(Data!B3:B602,"Union")</f>
        <v>21</v>
      </c>
      <c r="C25" s="30">
        <f>COUNTIFS(Data!B3:B602,"Union",Data!E3:E602,"visited")+COUNTIFS(Data!B3:B602,"Union",Data!E3:E602,"queued")+COUNTIFS(Data!B3:B602,"Union",Data!E3:E602,"pre-challenge")</f>
        <v>10</v>
      </c>
      <c r="D25" s="30">
        <f t="shared" si="0"/>
        <v>11</v>
      </c>
      <c r="E25" s="30" t="str">
        <f t="shared" si="1"/>
        <v>47.6%</v>
      </c>
    </row>
    <row r="26" spans="1:5" ht="15" customHeight="1" x14ac:dyDescent="0.2">
      <c r="A26" s="27" t="s">
        <v>75</v>
      </c>
      <c r="B26" s="28">
        <f>COUNTIF(Data!B3:B602,"Warren")</f>
        <v>22</v>
      </c>
      <c r="C26" s="28">
        <f>COUNTIFS(Data!B3:B602,"Warren",Data!E3:E602,"visited")+COUNTIFS(Data!B3:B602,"Warren",Data!E3:E602,"queued")+COUNTIFS(Data!B3:B602,"Warren",Data!E3:E602,"pre-challenge")</f>
        <v>12</v>
      </c>
      <c r="D26" s="28">
        <f t="shared" si="0"/>
        <v>10</v>
      </c>
      <c r="E26" s="28" t="str">
        <f t="shared" si="1"/>
        <v>54.5%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8"/>
  <sheetViews>
    <sheetView zoomScale="150" zoomScaleNormal="150" workbookViewId="0">
      <pane xSplit="3" ySplit="5" topLeftCell="G6" activePane="bottomRight" state="frozen"/>
      <selection pane="topRight"/>
      <selection pane="bottomLeft"/>
      <selection pane="bottomRight" activeCell="L6" sqref="L6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1728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COUNTIF(Data!B$3:B$602,"Atlantic")</f>
        <v>23</v>
      </c>
      <c r="C2" s="19" t="s">
        <v>1724</v>
      </c>
      <c r="D2" s="32">
        <f>COUNTIFS(Data!B$3:B$602,"Atlantic",Data!E3:E602,"visited")+COUNTIFS(Data!B$3:B$602,"Atlantic",Data!E3:E602,"queued")+COUNTIFS(Data!B$3:B$602,"Atlantic",Data!E3:E602,"pre-challenge")</f>
        <v>8</v>
      </c>
      <c r="E2" s="20" t="s">
        <v>1725</v>
      </c>
      <c r="F2" s="33">
        <f>B2-D2</f>
        <v>15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8">_xlfn._xlws.FILTER(Data!A$3:AU$602,Data!B$3:B$602="Atlantic","")</f>
        <v>Absecon</v>
      </c>
      <c r="B6" t="str">
        <v>Atlantic</v>
      </c>
      <c r="C6" t="str">
        <v>3400100100</v>
      </c>
      <c r="D6" t="str">
        <v>city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https://en.wikipedia.org/wiki/Absecon,_New_Jersey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Atlantic City</v>
      </c>
      <c r="B7" t="str">
        <v>Atlantic</v>
      </c>
      <c r="C7" t="str">
        <v>3400102080</v>
      </c>
      <c r="D7" t="str">
        <v>city</v>
      </c>
      <c r="E7" t="str">
        <v>pre-challenge</v>
      </c>
      <c r="F7">
        <v>0</v>
      </c>
      <c r="G7" t="str">
        <v>Amada</v>
      </c>
      <c r="H7">
        <v>43639</v>
      </c>
      <c r="I7" t="str">
        <v>Amada</v>
      </c>
      <c r="J7" t="str">
        <v>https://www.theoceanac.com/restaurants/amada</v>
      </c>
      <c r="K7" t="str">
        <v>https://en.wikipedia.org/wiki/Atlantic_City,_New_Jersey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Brigantine</v>
      </c>
      <c r="B8" t="str">
        <v>Atlantic</v>
      </c>
      <c r="C8" t="str">
        <v>3400107810</v>
      </c>
      <c r="D8" t="str">
        <v>city</v>
      </c>
      <c r="E8" t="str">
        <v>pre-challenge</v>
      </c>
      <c r="F8">
        <v>0</v>
      </c>
      <c r="G8" t="str">
        <v>Yianni's Café</v>
      </c>
      <c r="H8">
        <v>43678</v>
      </c>
      <c r="I8" t="str">
        <v>Yianni's Café</v>
      </c>
      <c r="J8" t="str">
        <v>https://yianniscafeoc.com/</v>
      </c>
      <c r="K8" t="str">
        <v>https://en.wikipedia.org/wiki/Brigantine,_New_Jersey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Buena</v>
      </c>
      <c r="B9" t="str">
        <v>Atlantic</v>
      </c>
      <c r="C9" t="str">
        <v>3400108680</v>
      </c>
      <c r="D9" t="str">
        <v>borough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https://en.wikipedia.org/wiki/Buena,_New_Jersey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Buena Vista</v>
      </c>
      <c r="B10" t="str">
        <v>Atlantic</v>
      </c>
      <c r="C10" t="str">
        <v>3400108710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https://en.wikipedia.org/wiki/Buena_Vista_Township,_New_Jersey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Corbin City</v>
      </c>
      <c r="B11" t="str">
        <v>Atlantic</v>
      </c>
      <c r="C11" t="str">
        <v>3400115160</v>
      </c>
      <c r="D11" t="str">
        <v>city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https://en.wikipedia.org/wiki/Corbin_City,_New_Jersey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Egg Harbor</v>
      </c>
      <c r="B12" t="str">
        <v>Atlantic</v>
      </c>
      <c r="C12" t="str">
        <v>3400120290</v>
      </c>
      <c r="D12" t="str">
        <v>township</v>
      </c>
      <c r="E12" t="str">
        <v>queued</v>
      </c>
      <c r="F12">
        <v>260</v>
      </c>
      <c r="G12" t="str">
        <v>Family Kusina</v>
      </c>
      <c r="H12">
        <v>45660</v>
      </c>
      <c r="I12" t="str">
        <v>Familya Kusina</v>
      </c>
      <c r="J12" t="str">
        <v>https://www.familyakusina.com/</v>
      </c>
      <c r="K12" t="str">
        <v>https://en.wikipedia.org/wiki/Egg_Harbor_Township,_New_Jersey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Egg Harbor City</v>
      </c>
      <c r="B13" t="str">
        <v>Atlantic</v>
      </c>
      <c r="C13" t="str">
        <v>3400120350</v>
      </c>
      <c r="D13" t="str">
        <v>city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https://en.wikipedia.org/wiki/Egg_Harbor_City,_New_Jersey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Estell Manor</v>
      </c>
      <c r="B14" t="str">
        <v>Atlantic</v>
      </c>
      <c r="C14" t="str">
        <v>3400121870</v>
      </c>
      <c r="D14" t="str">
        <v>city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https://en.wikipedia.org/wiki/Estell_Manor,_New_Jersey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Folsom</v>
      </c>
      <c r="B15" t="str">
        <v>Atlantic</v>
      </c>
      <c r="C15" t="str">
        <v>3400123940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https://en.wikipedia.org/wiki/Folsom,_New_Jersey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Galloway</v>
      </c>
      <c r="B16" t="str">
        <v>Atlantic</v>
      </c>
      <c r="C16" t="str">
        <v>3400125560</v>
      </c>
      <c r="D16" t="str">
        <v>township</v>
      </c>
      <c r="E16" t="str">
        <v>pre-challenge</v>
      </c>
      <c r="F16">
        <v>0</v>
      </c>
      <c r="G16" t="str">
        <v>Seaview Hotel</v>
      </c>
      <c r="H16">
        <v>43639</v>
      </c>
      <c r="I16" t="str">
        <v>Seaview Hotel</v>
      </c>
      <c r="J16" t="str">
        <v>https://www.seaviewdolcehotel.com/</v>
      </c>
      <c r="K16" t="str">
        <v>https://en.wikipedia.org/wiki/Galloway_Township,_New_Jersey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Hamilton</v>
      </c>
      <c r="B17" t="str">
        <v>Atlantic</v>
      </c>
      <c r="C17" t="str">
        <v>3400129280</v>
      </c>
      <c r="D17" t="str">
        <v>township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https://en.wikipedia.org/wiki/Hamilton_Township,_Atlantic_County,_New_Jersey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Hammonton</v>
      </c>
      <c r="B18" t="str">
        <v>Atlantic</v>
      </c>
      <c r="C18" t="str">
        <v>3400129430</v>
      </c>
      <c r="D18" t="str">
        <v>town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https://en.wikipedia.org/wiki/Hammonton,_New_Jersey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Linwood</v>
      </c>
      <c r="B19" t="str">
        <v>Atlantic</v>
      </c>
      <c r="C19" t="str">
        <v>3400140530</v>
      </c>
      <c r="D19" t="str">
        <v>city</v>
      </c>
      <c r="E19" t="str">
        <v>queued</v>
      </c>
      <c r="F19">
        <v>259</v>
      </c>
      <c r="G19" t="str">
        <v>Barista's Coffee House</v>
      </c>
      <c r="H19">
        <v>45660</v>
      </c>
      <c r="I19" t="str">
        <v>Barista's Coffee House</v>
      </c>
      <c r="J19" t="str">
        <v>https://www.baristascoffeehouse.com/</v>
      </c>
      <c r="K19" t="str">
        <v>https://en.wikipedia.org/wiki/Linwood,_New_Jersey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Longport</v>
      </c>
      <c r="B20" t="str">
        <v>Atlantic</v>
      </c>
      <c r="C20" t="str">
        <v>3400141370</v>
      </c>
      <c r="D20" t="str">
        <v>borough</v>
      </c>
      <c r="E20" t="str">
        <v>queued</v>
      </c>
      <c r="F20">
        <v>249</v>
      </c>
      <c r="G20" t="str">
        <v>Ozzie's Luncheonette</v>
      </c>
      <c r="H20">
        <v>45619</v>
      </c>
      <c r="I20" t="str">
        <v>Ozzie's Luncheonette</v>
      </c>
      <c r="J20" t="str">
        <v>https://ozzieslongport.com/</v>
      </c>
      <c r="K20" t="str">
        <v>https://en.wikipedia.org/wiki/Longport,_New_Jersey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Margate City</v>
      </c>
      <c r="B21" t="str">
        <v>Atlantic</v>
      </c>
      <c r="C21" t="str">
        <v>3400143890</v>
      </c>
      <c r="D21" t="str">
        <v>city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https://en.wikipedia.org/wiki/Margate_City,_New_Jersey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Mullica</v>
      </c>
      <c r="B22" t="str">
        <v>Atlantic</v>
      </c>
      <c r="C22" t="str">
        <v>3400149410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https://en.wikipedia.org/wiki/Mullica_Township,_New_Jersey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Northfield</v>
      </c>
      <c r="B23" t="str">
        <v>Atlantic</v>
      </c>
      <c r="C23" t="str">
        <v>3400152950</v>
      </c>
      <c r="D23" t="str">
        <v>city</v>
      </c>
      <c r="E23" t="str">
        <v>pre-challenge</v>
      </c>
      <c r="F23">
        <v>0</v>
      </c>
      <c r="G23" t="str">
        <v>Venture's Offshore Café</v>
      </c>
      <c r="H23">
        <v>45619</v>
      </c>
      <c r="I23" t="str">
        <v>Ventura's Offshore Café</v>
      </c>
      <c r="J23" t="str">
        <v>https://www.venturascafe.com/</v>
      </c>
      <c r="K23" t="str">
        <v>https://en.wikipedia.org/wiki/Northfield,_New_Jersey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Pleasantville</v>
      </c>
      <c r="B24" t="str">
        <v>Atlantic</v>
      </c>
      <c r="C24" t="str">
        <v>3400159640</v>
      </c>
      <c r="D24" t="str">
        <v>city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https://en.wikipedia.org/wiki/Pleasantville,_New_Jersey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Port Republic</v>
      </c>
      <c r="B25" t="str">
        <v>Atlantic</v>
      </c>
      <c r="C25" t="str">
        <v>3400160600</v>
      </c>
      <c r="D25" t="str">
        <v>city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https://en.wikipedia.org/wiki/Port_Republic,_New_Jersey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Somers Point</v>
      </c>
      <c r="B26" t="str">
        <v>Atlantic</v>
      </c>
      <c r="C26" t="str">
        <v>3400168430</v>
      </c>
      <c r="D26" t="str">
        <v>city</v>
      </c>
      <c r="E26" t="str">
        <v>pre-challenge</v>
      </c>
      <c r="F26">
        <v>0</v>
      </c>
      <c r="G26" t="str">
        <v>Manco &amp; Manco</v>
      </c>
      <c r="H26">
        <v>44250</v>
      </c>
      <c r="I26" t="str">
        <v>Manco and Manco</v>
      </c>
      <c r="J26" t="str">
        <v>https://mancospizza.com/</v>
      </c>
      <c r="K26" t="str">
        <v>https://en.wikipedia.org/wiki/Somers_Point,_New_Jersey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Ventnor City</v>
      </c>
      <c r="B27" t="str">
        <v>Atlantic</v>
      </c>
      <c r="C27" t="str">
        <v>3400175620</v>
      </c>
      <c r="D27" t="str">
        <v>city</v>
      </c>
      <c r="E27" t="str">
        <v>unvisited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https://en.wikipedia.org/wiki/Ventnor_City,_New_Jersey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Weymouth</v>
      </c>
      <c r="B28" t="str">
        <v>Atlantic</v>
      </c>
      <c r="C28" t="str">
        <v>3400180330</v>
      </c>
      <c r="D28" t="str">
        <v>township</v>
      </c>
      <c r="E28" t="str">
        <v>unvisited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>https://en.wikipedia.org/wiki/Weymouth_Township,_New_Jersey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75"/>
  <sheetViews>
    <sheetView workbookViewId="0">
      <pane xSplit="3" ySplit="5" topLeftCell="D6" activePane="bottomRight" state="frozen"/>
      <selection pane="topRight"/>
      <selection pane="bottomLeft"/>
      <selection pane="bottomRight" sqref="A1:AU1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1729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COUNTIF(Data!B$3:B$602,"Bergen")</f>
        <v>70</v>
      </c>
      <c r="C2" s="19" t="s">
        <v>1724</v>
      </c>
      <c r="D2" s="32">
        <f>COUNTIFS(Data!B$3:B$602,"Bergen",Data!E3:E602,"visited")+COUNTIFS(Data!B$3:B$602,"Bergen",Data!E3:E602,"queued")+COUNTIFS(Data!B$3:B$602,"Bergen",Data!E3:E602,"pre-challenge")</f>
        <v>19</v>
      </c>
      <c r="E2" s="20" t="s">
        <v>1725</v>
      </c>
      <c r="F2" s="33">
        <f>B2-D2</f>
        <v>51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75">_xlfn._xlws.FILTER(Data!A$3:AU$602,Data!B$3:B$602="Bergen","")</f>
        <v>Allendale</v>
      </c>
      <c r="B6" t="str">
        <v>Bergen</v>
      </c>
      <c r="C6" t="str">
        <v>3400300700</v>
      </c>
      <c r="D6" t="str">
        <v>borough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https://en.wikipedia.org/wiki/Allendale,_New_Jersey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Alpine</v>
      </c>
      <c r="B7" t="str">
        <v>Bergen</v>
      </c>
      <c r="C7" t="str">
        <v>3400301090</v>
      </c>
      <c r="D7" t="str">
        <v>borough</v>
      </c>
      <c r="E7" t="str">
        <v>queued</v>
      </c>
      <c r="F7">
        <v>239</v>
      </c>
      <c r="G7" t="str">
        <v>Kiku Japanese Steakhouse</v>
      </c>
      <c r="H7" t="str">
        <v>2024-10-11</v>
      </c>
      <c r="I7" t="str">
        <v>Kiku Japanese Steakhouse</v>
      </c>
      <c r="J7" t="str">
        <v>https://www.kikurestaurantsnj.com/</v>
      </c>
      <c r="K7" t="str">
        <v>https://en.wikipedia.org/wiki/Alpine,_New_Jersey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Bergenfield</v>
      </c>
      <c r="B8" t="str">
        <v>Bergen</v>
      </c>
      <c r="C8" t="str">
        <v>3400305170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https://en.wikipedia.org/wiki/Bergenfield,_New_Jersey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Bogota</v>
      </c>
      <c r="B9" t="str">
        <v>Bergen</v>
      </c>
      <c r="C9" t="str">
        <v>3400306490</v>
      </c>
      <c r="D9" t="str">
        <v>borough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https://en.wikipedia.org/wiki/Bogota,_New_Jersey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Carlstadt</v>
      </c>
      <c r="B10" t="str">
        <v>Bergen</v>
      </c>
      <c r="C10" t="str">
        <v>3400310480</v>
      </c>
      <c r="D10" t="str">
        <v>borough</v>
      </c>
      <c r="E10" t="str">
        <v>queued</v>
      </c>
      <c r="F10">
        <v>215</v>
      </c>
      <c r="G10" t="str">
        <v>Biggie's Clam Bar</v>
      </c>
      <c r="H10" t="str">
        <v>2024-07-17</v>
      </c>
      <c r="I10" t="str">
        <v>Biggie's Clam Bar</v>
      </c>
      <c r="J10" t="str">
        <v>https://biggies.com/</v>
      </c>
      <c r="K10" t="str">
        <v>https://en.wikipedia.org/wiki/Carlstadt,_New_Jersey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Cliffside Park</v>
      </c>
      <c r="B11" t="str">
        <v>Bergen</v>
      </c>
      <c r="C11" t="str">
        <v>3400313570</v>
      </c>
      <c r="D11" t="str">
        <v>borough</v>
      </c>
      <c r="E11" t="str">
        <v>queued</v>
      </c>
      <c r="F11">
        <v>163</v>
      </c>
      <c r="G11" t="str">
        <v>Mirak - Korean/Japanese Sushi Restauarant</v>
      </c>
      <c r="H11" t="str">
        <v>2023-01-02</v>
      </c>
      <c r="I11" t="str">
        <v>Mirak</v>
      </c>
      <c r="J11" t="str">
        <v>https://mirakcliffsidepark.com/</v>
      </c>
      <c r="K11" t="str">
        <v>https://en.wikipedia.org/wiki/Cliffside_Park,_New_Jersey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Closter</v>
      </c>
      <c r="B12" t="str">
        <v>Bergen</v>
      </c>
      <c r="C12" t="str">
        <v>3400313810</v>
      </c>
      <c r="D12" t="str">
        <v>borough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https://en.wikipedia.org/wiki/Closter,_New_Jersey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Cresskill</v>
      </c>
      <c r="B13" t="str">
        <v>Bergen</v>
      </c>
      <c r="C13" t="str">
        <v>3400315820</v>
      </c>
      <c r="D13" t="str">
        <v>borough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https://en.wikipedia.org/wiki/Cresskill,_New_Jersey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Demarest</v>
      </c>
      <c r="B14" t="str">
        <v>Bergen</v>
      </c>
      <c r="C14" t="str">
        <v>3400317530</v>
      </c>
      <c r="D14" t="str">
        <v>borough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https://en.wikipedia.org/wiki/Demarest,_New_Jersey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Dumont</v>
      </c>
      <c r="B15" t="str">
        <v>Bergen</v>
      </c>
      <c r="C15" t="str">
        <v>3400318400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https://en.wikipedia.org/wiki/Dumont,_New_Jersey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East Rutherford</v>
      </c>
      <c r="B16" t="str">
        <v>Bergen</v>
      </c>
      <c r="C16" t="str">
        <v>3400319510</v>
      </c>
      <c r="D16" t="str">
        <v>borough</v>
      </c>
      <c r="E16" t="str">
        <v>visited</v>
      </c>
      <c r="F16">
        <v>111</v>
      </c>
      <c r="G16" t="str">
        <v>"Wawa Picnic" - Tailgating for Springsteen</v>
      </c>
      <c r="H16" t="str">
        <v>2023-09-03</v>
      </c>
      <c r="I16">
        <v>0</v>
      </c>
      <c r="J16">
        <v>0</v>
      </c>
      <c r="K16" t="str">
        <v>https://en.wikipedia.org/wiki/East_Rutherford,_New_Jersey</v>
      </c>
      <c r="L16" t="str">
        <v>NJ Town #111: East Rutherford</v>
      </c>
      <c r="M16" t="str">
        <v>https://www.instagram.com/p/DIuAH24xYCm/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t="str">
        <v>Town #111</v>
      </c>
      <c r="AM16" t="str">
        <v>https://www.instagram.com/p/DIuAH24xYCm/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Edgewater</v>
      </c>
      <c r="B17" t="str">
        <v>Bergen</v>
      </c>
      <c r="C17" t="str">
        <v>3400320020</v>
      </c>
      <c r="D17" t="str">
        <v>borough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https://en.wikipedia.org/wiki/Edgewater,_New_Jersey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Elmwood Park</v>
      </c>
      <c r="B18" t="str">
        <v>Bergen</v>
      </c>
      <c r="C18" t="str">
        <v>3400321300</v>
      </c>
      <c r="D18" t="str">
        <v>borough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https://en.wikipedia.org/wiki/Elmwood_Park,_New_Jersey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Emerson</v>
      </c>
      <c r="B19" t="str">
        <v>Bergen</v>
      </c>
      <c r="C19" t="str">
        <v>3400321450</v>
      </c>
      <c r="D19" t="str">
        <v>borough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https://en.wikipedia.org/wiki/Emerson,_New_Jersey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Englewood</v>
      </c>
      <c r="B20" t="str">
        <v>Bergen</v>
      </c>
      <c r="C20" t="str">
        <v>3400321480</v>
      </c>
      <c r="D20" t="str">
        <v>city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https://en.wikipedia.org/wiki/Englewood,_New_Jersey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Englewood Cliffs</v>
      </c>
      <c r="B21" t="str">
        <v>Bergen</v>
      </c>
      <c r="C21" t="str">
        <v>3400321510</v>
      </c>
      <c r="D21" t="str">
        <v>borough</v>
      </c>
      <c r="E21" t="str">
        <v>queued</v>
      </c>
      <c r="F21">
        <v>167</v>
      </c>
      <c r="G21" t="str">
        <v>Brownstone Pancake Factory</v>
      </c>
      <c r="H21" t="str">
        <v>2024-01-15</v>
      </c>
      <c r="I21" t="str">
        <v>Brownstone Pancake Factory</v>
      </c>
      <c r="J21" t="str">
        <v>https://www.brownstonepancakefactory.com/</v>
      </c>
      <c r="K21" t="str">
        <v>https://en.wikipedia.org/wiki/Englewood_Cliffs,_New_Jersey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Fair Lawn</v>
      </c>
      <c r="B22" t="str">
        <v>Bergen</v>
      </c>
      <c r="C22" t="str">
        <v>3400322470</v>
      </c>
      <c r="D22" t="str">
        <v>borough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https://en.wikipedia.org/wiki/Fair_Lawn,_New_Jersey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Fairview</v>
      </c>
      <c r="B23" t="str">
        <v>Bergen</v>
      </c>
      <c r="C23" t="str">
        <v>3400322560</v>
      </c>
      <c r="D23" t="str">
        <v>borough</v>
      </c>
      <c r="E23" t="str">
        <v>queued</v>
      </c>
      <c r="F23">
        <v>258</v>
      </c>
      <c r="G23" t="str">
        <v>Cast Iron Pot Original</v>
      </c>
      <c r="H23" t="str">
        <v>2024-12-30</v>
      </c>
      <c r="I23" t="str">
        <v>Cast Iron Pot</v>
      </c>
      <c r="J23" t="str">
        <v>https://castironpotbbq.com/</v>
      </c>
      <c r="K23" t="str">
        <v>https://en.wikipedia.org/wiki/Fairview,_New_Jersey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Fort Lee</v>
      </c>
      <c r="B24" t="str">
        <v>Bergen</v>
      </c>
      <c r="C24" t="str">
        <v>3400324420</v>
      </c>
      <c r="D24" t="str">
        <v>borough</v>
      </c>
      <c r="E24" t="str">
        <v>queued</v>
      </c>
      <c r="F24">
        <v>178</v>
      </c>
      <c r="G24" t="str">
        <v>Q Grill Korean BBQ &amp; Seafood</v>
      </c>
      <c r="H24" t="str">
        <v>2024-02-17</v>
      </c>
      <c r="I24" t="str">
        <v>Q Grill</v>
      </c>
      <c r="J24" t="str">
        <v>https://qgrillkbbq.com/</v>
      </c>
      <c r="K24" t="str">
        <v>https://en.wikipedia.org/wiki/Fort_Lee,_New_Jersey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Franklin Lakes</v>
      </c>
      <c r="B25" t="str">
        <v>Bergen</v>
      </c>
      <c r="C25" t="str">
        <v>3400324990</v>
      </c>
      <c r="D25" t="str">
        <v>borough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https://en.wikipedia.org/wiki/Franklin_Lakes,_New_Jersey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Garfield</v>
      </c>
      <c r="B26" t="str">
        <v>Bergen</v>
      </c>
      <c r="C26" t="str">
        <v>3400325770</v>
      </c>
      <c r="D26" t="str">
        <v>city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https://en.wikipedia.org/wiki/Garfield,_New_Jersey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Glen Rock</v>
      </c>
      <c r="B27" t="str">
        <v>Bergen</v>
      </c>
      <c r="C27" t="str">
        <v>3400326640</v>
      </c>
      <c r="D27" t="str">
        <v>borough</v>
      </c>
      <c r="E27" t="str">
        <v>unvisited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https://en.wikipedia.org/wiki/Glen_Rock,_New_Jersey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Hackensack</v>
      </c>
      <c r="B28" t="str">
        <v>Bergen</v>
      </c>
      <c r="C28" t="str">
        <v>3400328680</v>
      </c>
      <c r="D28" t="str">
        <v>city</v>
      </c>
      <c r="E28" t="str">
        <v>queued</v>
      </c>
      <c r="F28">
        <v>233</v>
      </c>
      <c r="G28" t="str">
        <v>White Manna Hamburgers</v>
      </c>
      <c r="H28" t="str">
        <v>2024-09-21</v>
      </c>
      <c r="I28" t="str">
        <v>White Manna</v>
      </c>
      <c r="J28" t="str">
        <v>https://www.whitemanna.com/</v>
      </c>
      <c r="K28" t="str">
        <v>https://en.wikipedia.org/wiki/Hackensack,_New_Jersey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Harrington Park</v>
      </c>
      <c r="B29" t="str">
        <v>Bergen</v>
      </c>
      <c r="C29" t="str">
        <v>3400330150</v>
      </c>
      <c r="D29" t="str">
        <v>borough</v>
      </c>
      <c r="E29" t="str">
        <v>unvisited</v>
      </c>
      <c r="F29">
        <v>0</v>
      </c>
      <c r="G29">
        <v>0</v>
      </c>
      <c r="H29">
        <v>0</v>
      </c>
      <c r="I29">
        <v>0</v>
      </c>
      <c r="J29">
        <v>0</v>
      </c>
      <c r="K29" t="str">
        <v>https://en.wikipedia.org/wiki/Harrington_Park,_New_Jersey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Hasbrouck Heights</v>
      </c>
      <c r="B30" t="str">
        <v>Bergen</v>
      </c>
      <c r="C30" t="str">
        <v>3400330420</v>
      </c>
      <c r="D30" t="str">
        <v>borough</v>
      </c>
      <c r="E30" t="str">
        <v>unvisited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https://en.wikipedia.org/wiki/Hasbrouck_Heights,_New_Jersey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Haworth</v>
      </c>
      <c r="B31" t="str">
        <v>Bergen</v>
      </c>
      <c r="C31" t="str">
        <v>3400330540</v>
      </c>
      <c r="D31" t="str">
        <v>borough</v>
      </c>
      <c r="E31" t="str">
        <v>unvisited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https://en.wikipedia.org/wiki/Haworth,_New_Jersey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t="str">
        <v>Hillsdale</v>
      </c>
      <c r="B32" t="str">
        <v>Bergen</v>
      </c>
      <c r="C32" t="str">
        <v>3400331920</v>
      </c>
      <c r="D32" t="str">
        <v>borough</v>
      </c>
      <c r="E32" t="str">
        <v>unvisited</v>
      </c>
      <c r="F32">
        <v>0</v>
      </c>
      <c r="G32">
        <v>0</v>
      </c>
      <c r="H32">
        <v>0</v>
      </c>
      <c r="I32">
        <v>0</v>
      </c>
      <c r="J32">
        <v>0</v>
      </c>
      <c r="K32" t="str">
        <v>https://en.wikipedia.org/wiki/Hillsdale,_New_Jersey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t="str">
        <v>Ho-Ho-Kus</v>
      </c>
      <c r="B33" t="str">
        <v>Bergen</v>
      </c>
      <c r="C33" t="str">
        <v>3400332310</v>
      </c>
      <c r="D33" t="str">
        <v>borough</v>
      </c>
      <c r="E33" t="str">
        <v>unvisited</v>
      </c>
      <c r="F33">
        <v>0</v>
      </c>
      <c r="G33">
        <v>0</v>
      </c>
      <c r="H33">
        <v>0</v>
      </c>
      <c r="I33">
        <v>0</v>
      </c>
      <c r="J33">
        <v>0</v>
      </c>
      <c r="K33" t="str">
        <v>https://en.wikipedia.org/wiki/Ho-Ho-Kus,_New_Jersey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t="str">
        <v>Leonia</v>
      </c>
      <c r="B34" t="str">
        <v>Bergen</v>
      </c>
      <c r="C34" t="str">
        <v>3400340020</v>
      </c>
      <c r="D34" t="str">
        <v>borough</v>
      </c>
      <c r="E34" t="str">
        <v>unvisited</v>
      </c>
      <c r="F34">
        <v>0</v>
      </c>
      <c r="G34">
        <v>0</v>
      </c>
      <c r="H34">
        <v>0</v>
      </c>
      <c r="I34">
        <v>0</v>
      </c>
      <c r="J34">
        <v>0</v>
      </c>
      <c r="K34" t="str">
        <v>https://en.wikipedia.org/wiki/Leonia,_New_Jersey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t="str">
        <v>Little Ferry</v>
      </c>
      <c r="B35" t="str">
        <v>Bergen</v>
      </c>
      <c r="C35" t="str">
        <v>3400340680</v>
      </c>
      <c r="D35" t="str">
        <v>borough</v>
      </c>
      <c r="E35" t="str">
        <v>unvisited</v>
      </c>
      <c r="F35">
        <v>0</v>
      </c>
      <c r="G35">
        <v>0</v>
      </c>
      <c r="H35">
        <v>0</v>
      </c>
      <c r="I35">
        <v>0</v>
      </c>
      <c r="J35">
        <v>0</v>
      </c>
      <c r="K35" t="str">
        <v>https://en.wikipedia.org/wiki/Little_Ferry,_New_Jersey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">
      <c r="A36" t="str">
        <v>Lodi</v>
      </c>
      <c r="B36" t="str">
        <v>Bergen</v>
      </c>
      <c r="C36" t="str">
        <v>3400341100</v>
      </c>
      <c r="D36" t="str">
        <v>borough</v>
      </c>
      <c r="E36" t="str">
        <v>pre-challenge</v>
      </c>
      <c r="F36">
        <v>0</v>
      </c>
      <c r="G36" t="str">
        <v>Wawa</v>
      </c>
      <c r="H36" t="str">
        <v>2022-10-10</v>
      </c>
      <c r="I36">
        <v>0</v>
      </c>
      <c r="J36">
        <v>0</v>
      </c>
      <c r="K36" t="str">
        <v>https://en.wikipedia.org/wiki/Lodi,_New_Jersey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tr">
        <v>Lyndhurst</v>
      </c>
      <c r="B37" t="str">
        <v>Bergen</v>
      </c>
      <c r="C37" t="str">
        <v>3400342090</v>
      </c>
      <c r="D37" t="str">
        <v>township</v>
      </c>
      <c r="E37" t="str">
        <v>pre-challenge</v>
      </c>
      <c r="F37">
        <v>0</v>
      </c>
      <c r="G37" t="str">
        <v>Lassoni</v>
      </c>
      <c r="H37" t="str">
        <v>2016-11-19</v>
      </c>
      <c r="I37" t="str">
        <v>Lassoni Restaurant</v>
      </c>
      <c r="J37" t="str">
        <v>https://lassonirestaurant.com/</v>
      </c>
      <c r="K37" t="str">
        <v>https://en.wikipedia.org/wiki/Lyndhurst_Township,_New_Jersey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t="str">
        <v>Mahwah</v>
      </c>
      <c r="B38" t="str">
        <v>Bergen</v>
      </c>
      <c r="C38" t="str">
        <v>3400342750</v>
      </c>
      <c r="D38" t="str">
        <v>township</v>
      </c>
      <c r="E38" t="str">
        <v>queued</v>
      </c>
      <c r="F38">
        <v>213</v>
      </c>
      <c r="G38" t="str">
        <v>Prime No. 7 x Ugly Chicken Korean BBQ</v>
      </c>
      <c r="H38" t="str">
        <v>2024-07-12</v>
      </c>
      <c r="I38" t="str">
        <v>Prime No.7</v>
      </c>
      <c r="J38" t="str">
        <v>https://primeno7.com/</v>
      </c>
      <c r="K38" t="str">
        <v>https://en.wikipedia.org/wiki/Mahwah_Township,_New_Jersey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">
      <c r="A39" t="str">
        <v>Maywood</v>
      </c>
      <c r="B39" t="str">
        <v>Bergen</v>
      </c>
      <c r="C39" t="str">
        <v>3400344880</v>
      </c>
      <c r="D39" t="str">
        <v>borough</v>
      </c>
      <c r="E39" t="str">
        <v>pre-challenge</v>
      </c>
      <c r="F39">
        <v>0</v>
      </c>
      <c r="G39" t="str">
        <v>Mario's Pizza</v>
      </c>
      <c r="H39" t="str">
        <v>2021-12-03</v>
      </c>
      <c r="I39" t="str">
        <v>Mario's Pizza</v>
      </c>
      <c r="J39" t="str">
        <v>https://www.mariospizzanj.com/</v>
      </c>
      <c r="K39" t="str">
        <v>https://en.wikipedia.org/wiki/Maywood,_New_Jersey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">
      <c r="A40" t="str">
        <v>Midland Park</v>
      </c>
      <c r="B40" t="str">
        <v>Bergen</v>
      </c>
      <c r="C40" t="str">
        <v>3400346110</v>
      </c>
      <c r="D40" t="str">
        <v>borough</v>
      </c>
      <c r="E40" t="str">
        <v>unvisited</v>
      </c>
      <c r="F40">
        <v>0</v>
      </c>
      <c r="G40">
        <v>0</v>
      </c>
      <c r="H40">
        <v>0</v>
      </c>
      <c r="I40">
        <v>0</v>
      </c>
      <c r="J40">
        <v>0</v>
      </c>
      <c r="K40" t="str">
        <v>https://en.wikipedia.org/wiki/Midland_Park,_New_Jersey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">
      <c r="A41" t="str">
        <v>Montvale</v>
      </c>
      <c r="B41" t="str">
        <v>Bergen</v>
      </c>
      <c r="C41" t="str">
        <v>3400347610</v>
      </c>
      <c r="D41" t="str">
        <v>borough</v>
      </c>
      <c r="E41" t="str">
        <v>queued</v>
      </c>
      <c r="F41">
        <v>291</v>
      </c>
      <c r="G41" t="str">
        <v>Fire &amp; Oak</v>
      </c>
      <c r="H41">
        <v>46251</v>
      </c>
      <c r="I41" t="str">
        <v>Fire &amp; Oak</v>
      </c>
      <c r="J41" t="str">
        <v>https://www.fireandoak.com/</v>
      </c>
      <c r="K41" t="str">
        <v>https://en.wikipedia.org/wiki/Montvale,_New_Jersey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">
      <c r="A42" t="str">
        <v>Moonachie</v>
      </c>
      <c r="B42" t="str">
        <v>Bergen</v>
      </c>
      <c r="C42" t="str">
        <v>3400347700</v>
      </c>
      <c r="D42" t="str">
        <v>borough</v>
      </c>
      <c r="E42" t="str">
        <v>queued</v>
      </c>
      <c r="F42">
        <v>177</v>
      </c>
      <c r="G42" t="str">
        <v>Segovia Restaurant</v>
      </c>
      <c r="H42" t="str">
        <v>2024-02-14</v>
      </c>
      <c r="I42" t="str">
        <v>Segovia Restaurant</v>
      </c>
      <c r="J42" t="str">
        <v>https://segoviarestaurant.com/</v>
      </c>
      <c r="K42" t="str">
        <v>https://en.wikipedia.org/wiki/Moonachie,_New_Jersey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">
      <c r="A43" t="str">
        <v>New Milford</v>
      </c>
      <c r="B43" t="str">
        <v>Bergen</v>
      </c>
      <c r="C43" t="str">
        <v>3400351660</v>
      </c>
      <c r="D43" t="str">
        <v>borough</v>
      </c>
      <c r="E43" t="str">
        <v>unvisited</v>
      </c>
      <c r="F43">
        <v>0</v>
      </c>
      <c r="G43">
        <v>0</v>
      </c>
      <c r="H43">
        <v>0</v>
      </c>
      <c r="I43">
        <v>0</v>
      </c>
      <c r="J43">
        <v>0</v>
      </c>
      <c r="K43" t="str">
        <v>https://en.wikipedia.org/wiki/New_Milford,_New_Jersey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">
      <c r="A44" t="str">
        <v>North Arlington</v>
      </c>
      <c r="B44" t="str">
        <v>Bergen</v>
      </c>
      <c r="C44" t="str">
        <v>3400352320</v>
      </c>
      <c r="D44" t="str">
        <v>borough</v>
      </c>
      <c r="E44" t="str">
        <v>queued</v>
      </c>
      <c r="F44">
        <v>148</v>
      </c>
      <c r="G44" t="str">
        <v>Pizzaland</v>
      </c>
      <c r="H44" t="str">
        <v>2023-11-26</v>
      </c>
      <c r="I44" t="str">
        <v>Pizza Land</v>
      </c>
      <c r="J44" t="str">
        <v>https://www.pizzalandnj.com/</v>
      </c>
      <c r="K44" t="str">
        <v>https://en.wikipedia.org/wiki/North_Arlington,_New_Jersey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2">
      <c r="A45" t="str">
        <v>Northvale</v>
      </c>
      <c r="B45" t="str">
        <v>Bergen</v>
      </c>
      <c r="C45" t="str">
        <v>3400353430</v>
      </c>
      <c r="D45" t="str">
        <v>borough</v>
      </c>
      <c r="E45" t="str">
        <v>unvisited</v>
      </c>
      <c r="F45">
        <v>0</v>
      </c>
      <c r="G45">
        <v>0</v>
      </c>
      <c r="H45">
        <v>0</v>
      </c>
      <c r="I45">
        <v>0</v>
      </c>
      <c r="J45">
        <v>0</v>
      </c>
      <c r="K45" t="str">
        <v>https://en.wikipedia.org/wiki/Northvale,_New_Jersey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  <row r="46" spans="1:47" x14ac:dyDescent="0.2">
      <c r="A46" t="str">
        <v>Norwood</v>
      </c>
      <c r="B46" t="str">
        <v>Bergen</v>
      </c>
      <c r="C46" t="str">
        <v>3400353610</v>
      </c>
      <c r="D46" t="str">
        <v>borough</v>
      </c>
      <c r="E46" t="str">
        <v>unvisited</v>
      </c>
      <c r="F46">
        <v>0</v>
      </c>
      <c r="G46">
        <v>0</v>
      </c>
      <c r="H46">
        <v>0</v>
      </c>
      <c r="I46">
        <v>0</v>
      </c>
      <c r="J46">
        <v>0</v>
      </c>
      <c r="K46" t="str">
        <v>https://en.wikipedia.org/wiki/Norwood,_New_Jersey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2">
      <c r="A47" t="str">
        <v>Oakland</v>
      </c>
      <c r="B47" t="str">
        <v>Bergen</v>
      </c>
      <c r="C47" t="str">
        <v>3400353850</v>
      </c>
      <c r="D47" t="str">
        <v>borough</v>
      </c>
      <c r="E47" t="str">
        <v>unvisited</v>
      </c>
      <c r="F47">
        <v>0</v>
      </c>
      <c r="G47">
        <v>0</v>
      </c>
      <c r="H47">
        <v>0</v>
      </c>
      <c r="I47">
        <v>0</v>
      </c>
      <c r="J47">
        <v>0</v>
      </c>
      <c r="K47" t="str">
        <v>https://en.wikipedia.org/wiki/Oakland,_New_Jersey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2">
      <c r="A48" t="str">
        <v>Old Tappan</v>
      </c>
      <c r="B48" t="str">
        <v>Bergen</v>
      </c>
      <c r="C48" t="str">
        <v>3400354870</v>
      </c>
      <c r="D48" t="str">
        <v>borough</v>
      </c>
      <c r="E48" t="str">
        <v>unvisited</v>
      </c>
      <c r="F48">
        <v>0</v>
      </c>
      <c r="G48">
        <v>0</v>
      </c>
      <c r="H48">
        <v>0</v>
      </c>
      <c r="I48">
        <v>0</v>
      </c>
      <c r="J48">
        <v>0</v>
      </c>
      <c r="K48" t="str">
        <v>https://en.wikipedia.org/wiki/Old_Tappan,_New_Jersey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2">
      <c r="A49" t="str">
        <v>Oradell</v>
      </c>
      <c r="B49" t="str">
        <v>Bergen</v>
      </c>
      <c r="C49" t="str">
        <v>3400354990</v>
      </c>
      <c r="D49" t="str">
        <v>borough</v>
      </c>
      <c r="E49" t="str">
        <v>unvisited</v>
      </c>
      <c r="F49">
        <v>0</v>
      </c>
      <c r="G49">
        <v>0</v>
      </c>
      <c r="H49">
        <v>0</v>
      </c>
      <c r="I49">
        <v>0</v>
      </c>
      <c r="J49">
        <v>0</v>
      </c>
      <c r="K49" t="str">
        <v>https://en.wikipedia.org/wiki/Oradell,_New_Jersey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</row>
    <row r="50" spans="1:47" x14ac:dyDescent="0.2">
      <c r="A50" t="str">
        <v>Palisades Park</v>
      </c>
      <c r="B50" t="str">
        <v>Bergen</v>
      </c>
      <c r="C50" t="str">
        <v>3400355770</v>
      </c>
      <c r="D50" t="str">
        <v>borough</v>
      </c>
      <c r="E50" t="str">
        <v>queued</v>
      </c>
      <c r="F50">
        <v>179</v>
      </c>
      <c r="G50" t="str">
        <v>Cafe Mocha</v>
      </c>
      <c r="H50" t="str">
        <v>2024-02-17</v>
      </c>
      <c r="I50">
        <v>0</v>
      </c>
      <c r="J50">
        <v>0</v>
      </c>
      <c r="K50" t="str">
        <v>https://en.wikipedia.org/wiki/Palisades_Park,_New_Jersey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2">
      <c r="A51" t="str">
        <v>Paramus</v>
      </c>
      <c r="B51" t="str">
        <v>Bergen</v>
      </c>
      <c r="C51" t="str">
        <v>3400355950</v>
      </c>
      <c r="D51" t="str">
        <v>borough</v>
      </c>
      <c r="E51" t="str">
        <v>unvisited</v>
      </c>
      <c r="F51">
        <v>0</v>
      </c>
      <c r="G51">
        <v>0</v>
      </c>
      <c r="H51">
        <v>0</v>
      </c>
      <c r="I51">
        <v>0</v>
      </c>
      <c r="J51">
        <v>0</v>
      </c>
      <c r="K51" t="str">
        <v>https://en.wikipedia.org/wiki/Paramus,_New_Jersey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 x14ac:dyDescent="0.2">
      <c r="A52" t="str">
        <v>Park Ridge</v>
      </c>
      <c r="B52" t="str">
        <v>Bergen</v>
      </c>
      <c r="C52" t="str">
        <v>3400356130</v>
      </c>
      <c r="D52" t="str">
        <v>borough</v>
      </c>
      <c r="E52" t="str">
        <v>unvisited</v>
      </c>
      <c r="F52">
        <v>0</v>
      </c>
      <c r="G52">
        <v>0</v>
      </c>
      <c r="H52">
        <v>0</v>
      </c>
      <c r="I52">
        <v>0</v>
      </c>
      <c r="J52">
        <v>0</v>
      </c>
      <c r="K52" t="str">
        <v>https://en.wikipedia.org/wiki/Park_Ridge,_New_Jersey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 x14ac:dyDescent="0.2">
      <c r="A53" t="str">
        <v>Ramsey</v>
      </c>
      <c r="B53" t="str">
        <v>Bergen</v>
      </c>
      <c r="C53" t="str">
        <v>3400361680</v>
      </c>
      <c r="D53" t="str">
        <v>borough</v>
      </c>
      <c r="E53" t="str">
        <v>queued</v>
      </c>
      <c r="F53">
        <v>214</v>
      </c>
      <c r="G53" t="str">
        <v>Varka Restaurant</v>
      </c>
      <c r="H53" t="str">
        <v>2024-07-14</v>
      </c>
      <c r="I53" t="str">
        <v>Varka Restaurant</v>
      </c>
      <c r="J53" t="str">
        <v>https://varkarestaurant.com/</v>
      </c>
      <c r="K53" t="str">
        <v>https://en.wikipedia.org/wiki/Ramsey,_New_Jersey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</row>
    <row r="54" spans="1:47" x14ac:dyDescent="0.2">
      <c r="A54" t="str">
        <v>Ridgefield</v>
      </c>
      <c r="B54" t="str">
        <v>Bergen</v>
      </c>
      <c r="C54" t="str">
        <v>3400362910</v>
      </c>
      <c r="D54" t="str">
        <v>borough</v>
      </c>
      <c r="E54" t="str">
        <v>unvisited</v>
      </c>
      <c r="F54">
        <v>0</v>
      </c>
      <c r="G54">
        <v>0</v>
      </c>
      <c r="H54">
        <v>0</v>
      </c>
      <c r="I54">
        <v>0</v>
      </c>
      <c r="J54">
        <v>0</v>
      </c>
      <c r="K54" t="str">
        <v>https://en.wikipedia.org/wiki/Ridgefield,_New_Jersey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 x14ac:dyDescent="0.2">
      <c r="A55" t="str">
        <v>Ridgefield Park</v>
      </c>
      <c r="B55" t="str">
        <v>Bergen</v>
      </c>
      <c r="C55" t="str">
        <v>3400362940</v>
      </c>
      <c r="D55" t="str">
        <v>village</v>
      </c>
      <c r="E55" t="str">
        <v>unvisited</v>
      </c>
      <c r="F55">
        <v>0</v>
      </c>
      <c r="G55">
        <v>0</v>
      </c>
      <c r="H55">
        <v>0</v>
      </c>
      <c r="I55">
        <v>0</v>
      </c>
      <c r="J55">
        <v>0</v>
      </c>
      <c r="K55" t="str">
        <v>https://en.wikipedia.org/wiki/Ridgefield_Park,_New_Jersey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2">
      <c r="A56" t="str">
        <v>Ridgewood</v>
      </c>
      <c r="B56" t="str">
        <v>Bergen</v>
      </c>
      <c r="C56" t="str">
        <v>3400363000</v>
      </c>
      <c r="D56" t="str">
        <v>village</v>
      </c>
      <c r="E56" t="str">
        <v>unvisited</v>
      </c>
      <c r="F56">
        <v>0</v>
      </c>
      <c r="G56">
        <v>0</v>
      </c>
      <c r="H56">
        <v>0</v>
      </c>
      <c r="I56">
        <v>0</v>
      </c>
      <c r="J56">
        <v>0</v>
      </c>
      <c r="K56" t="str">
        <v>https://en.wikipedia.org/wiki/Ridgewood,_New_Jersey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 x14ac:dyDescent="0.2">
      <c r="A57" t="str">
        <v>River Edge</v>
      </c>
      <c r="B57" t="str">
        <v>Bergen</v>
      </c>
      <c r="C57" t="str">
        <v>3400363360</v>
      </c>
      <c r="D57" t="str">
        <v>borough</v>
      </c>
      <c r="E57" t="str">
        <v>unvisited</v>
      </c>
      <c r="F57">
        <v>0</v>
      </c>
      <c r="G57">
        <v>0</v>
      </c>
      <c r="H57">
        <v>0</v>
      </c>
      <c r="I57">
        <v>0</v>
      </c>
      <c r="J57">
        <v>0</v>
      </c>
      <c r="K57" t="str">
        <v>https://en.wikipedia.org/wiki/River_Edge,_New_Jersey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2">
      <c r="A58" t="str">
        <v>River Vale</v>
      </c>
      <c r="B58" t="str">
        <v>Bergen</v>
      </c>
      <c r="C58" t="str">
        <v>3400363690</v>
      </c>
      <c r="D58" t="str">
        <v>township</v>
      </c>
      <c r="E58" t="str">
        <v>unvisited</v>
      </c>
      <c r="F58">
        <v>0</v>
      </c>
      <c r="G58">
        <v>0</v>
      </c>
      <c r="H58">
        <v>0</v>
      </c>
      <c r="I58">
        <v>0</v>
      </c>
      <c r="J58">
        <v>0</v>
      </c>
      <c r="K58" t="str">
        <v>https://en.wikipedia.org/wiki/River_Vale_Township,_New_Jersey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2">
      <c r="A59" t="str">
        <v>Rochelle Park</v>
      </c>
      <c r="B59" t="str">
        <v>Bergen</v>
      </c>
      <c r="C59" t="str">
        <v>3400363990</v>
      </c>
      <c r="D59" t="str">
        <v>township</v>
      </c>
      <c r="E59" t="str">
        <v>unvisited</v>
      </c>
      <c r="F59">
        <v>0</v>
      </c>
      <c r="G59">
        <v>0</v>
      </c>
      <c r="H59">
        <v>0</v>
      </c>
      <c r="I59">
        <v>0</v>
      </c>
      <c r="J59">
        <v>0</v>
      </c>
      <c r="K59" t="str">
        <v>https://en.wikipedia.org/wiki/Rochelle_Park_Township,_New_Jersey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</row>
    <row r="60" spans="1:47" x14ac:dyDescent="0.2">
      <c r="A60" t="str">
        <v>Rockleigh</v>
      </c>
      <c r="B60" t="str">
        <v>Bergen</v>
      </c>
      <c r="C60" t="str">
        <v>3400364170</v>
      </c>
      <c r="D60" t="str">
        <v>borough</v>
      </c>
      <c r="E60" t="str">
        <v>unvisited</v>
      </c>
      <c r="F60">
        <v>0</v>
      </c>
      <c r="G60">
        <v>0</v>
      </c>
      <c r="H60">
        <v>0</v>
      </c>
      <c r="I60">
        <v>0</v>
      </c>
      <c r="J60">
        <v>0</v>
      </c>
      <c r="K60" t="str">
        <v>https://en.wikipedia.org/wiki/Rockleigh,_New_Jersey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</row>
    <row r="61" spans="1:47" x14ac:dyDescent="0.2">
      <c r="A61" t="str">
        <v>Rutherford</v>
      </c>
      <c r="B61" t="str">
        <v>Bergen</v>
      </c>
      <c r="C61" t="str">
        <v>3400365280</v>
      </c>
      <c r="D61" t="str">
        <v>borough</v>
      </c>
      <c r="E61" t="str">
        <v>queued</v>
      </c>
      <c r="F61">
        <v>261</v>
      </c>
      <c r="G61" t="str">
        <v>Sonoma Bistro</v>
      </c>
      <c r="H61" t="str">
        <v>2025-01-04</v>
      </c>
      <c r="I61" t="str">
        <v>Sonoma Bistro</v>
      </c>
      <c r="J61" t="str">
        <v>https://sonomabistrorutherford.com/</v>
      </c>
      <c r="K61" t="str">
        <v>https://en.wikipedia.org/wiki/Rutherford,_New_Jersey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</row>
    <row r="62" spans="1:47" x14ac:dyDescent="0.2">
      <c r="A62" t="str">
        <v>Saddle Brook</v>
      </c>
      <c r="B62" t="str">
        <v>Bergen</v>
      </c>
      <c r="C62" t="str">
        <v>3400365340</v>
      </c>
      <c r="D62" t="str">
        <v>township</v>
      </c>
      <c r="E62" t="str">
        <v>unvisited</v>
      </c>
      <c r="F62">
        <v>0</v>
      </c>
      <c r="G62">
        <v>0</v>
      </c>
      <c r="H62">
        <v>0</v>
      </c>
      <c r="I62">
        <v>0</v>
      </c>
      <c r="J62">
        <v>0</v>
      </c>
      <c r="K62" t="str">
        <v>https://en.wikipedia.org/wiki/Saddle_Brook_Township,_New_Jersey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</row>
    <row r="63" spans="1:47" x14ac:dyDescent="0.2">
      <c r="A63" t="str">
        <v>Saddle River</v>
      </c>
      <c r="B63" t="str">
        <v>Bergen</v>
      </c>
      <c r="C63" t="str">
        <v>3400365400</v>
      </c>
      <c r="D63" t="str">
        <v>borough</v>
      </c>
      <c r="E63" t="str">
        <v>unvisited</v>
      </c>
      <c r="F63">
        <v>0</v>
      </c>
      <c r="G63">
        <v>0</v>
      </c>
      <c r="H63">
        <v>0</v>
      </c>
      <c r="I63">
        <v>0</v>
      </c>
      <c r="J63">
        <v>0</v>
      </c>
      <c r="K63" t="str">
        <v>https://en.wikipedia.org/wiki/Saddle_River,_New_Jersey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</row>
    <row r="64" spans="1:47" x14ac:dyDescent="0.2">
      <c r="A64" t="str">
        <v>South Hackensack</v>
      </c>
      <c r="B64" t="str">
        <v>Bergen</v>
      </c>
      <c r="C64" t="str">
        <v>3400368970</v>
      </c>
      <c r="D64" t="str">
        <v>township</v>
      </c>
      <c r="E64" t="str">
        <v>unvisited</v>
      </c>
      <c r="F64">
        <v>0</v>
      </c>
      <c r="G64">
        <v>0</v>
      </c>
      <c r="H64">
        <v>0</v>
      </c>
      <c r="I64">
        <v>0</v>
      </c>
      <c r="J64">
        <v>0</v>
      </c>
      <c r="K64" t="str">
        <v>https://en.wikipedia.org/wiki/South_Hackensack_Township,_New_Jersey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</row>
    <row r="65" spans="1:47" x14ac:dyDescent="0.2">
      <c r="A65" t="str">
        <v>Teaneck</v>
      </c>
      <c r="B65" t="str">
        <v>Bergen</v>
      </c>
      <c r="C65" t="str">
        <v>3400372360</v>
      </c>
      <c r="D65" t="str">
        <v>township</v>
      </c>
      <c r="E65" t="str">
        <v>unvisited</v>
      </c>
      <c r="F65">
        <v>0</v>
      </c>
      <c r="G65">
        <v>0</v>
      </c>
      <c r="H65">
        <v>0</v>
      </c>
      <c r="I65">
        <v>0</v>
      </c>
      <c r="J65">
        <v>0</v>
      </c>
      <c r="K65" t="str">
        <v>https://en.wikipedia.org/wiki/Teaneck_Township,_New_Jersey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</row>
    <row r="66" spans="1:47" x14ac:dyDescent="0.2">
      <c r="A66" t="str">
        <v>Tenafly</v>
      </c>
      <c r="B66" t="str">
        <v>Bergen</v>
      </c>
      <c r="C66" t="str">
        <v>3400372420</v>
      </c>
      <c r="D66" t="str">
        <v>borough</v>
      </c>
      <c r="E66" t="str">
        <v>unvisited</v>
      </c>
      <c r="F66">
        <v>0</v>
      </c>
      <c r="G66">
        <v>0</v>
      </c>
      <c r="H66">
        <v>0</v>
      </c>
      <c r="I66">
        <v>0</v>
      </c>
      <c r="J66">
        <v>0</v>
      </c>
      <c r="K66" t="str">
        <v>https://en.wikipedia.org/wiki/Tenafly,_New_Jersey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</row>
    <row r="67" spans="1:47" x14ac:dyDescent="0.2">
      <c r="A67" t="str">
        <v>Teterboro</v>
      </c>
      <c r="B67" t="str">
        <v>Bergen</v>
      </c>
      <c r="C67" t="str">
        <v>3400372480</v>
      </c>
      <c r="D67" t="str">
        <v>borough</v>
      </c>
      <c r="E67" t="str">
        <v>unvisited</v>
      </c>
      <c r="F67">
        <v>0</v>
      </c>
      <c r="G67">
        <v>0</v>
      </c>
      <c r="H67">
        <v>0</v>
      </c>
      <c r="I67">
        <v>0</v>
      </c>
      <c r="J67">
        <v>0</v>
      </c>
      <c r="K67" t="str">
        <v>https://en.wikipedia.org/wiki/Teterboro,_New_Jersey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</row>
    <row r="68" spans="1:47" x14ac:dyDescent="0.2">
      <c r="A68" t="str">
        <v>Upper Saddle River</v>
      </c>
      <c r="B68" t="str">
        <v>Bergen</v>
      </c>
      <c r="C68" t="str">
        <v>3400375140</v>
      </c>
      <c r="D68" t="str">
        <v>borough</v>
      </c>
      <c r="E68" t="str">
        <v>queued</v>
      </c>
      <c r="F68">
        <v>240</v>
      </c>
      <c r="G68" t="str">
        <v>Elmer's Deli Grill &amp; Pizza</v>
      </c>
      <c r="H68" t="str">
        <v>2024-10-14</v>
      </c>
      <c r="I68" t="str">
        <v>Elmer's Country Store</v>
      </c>
      <c r="J68" t="str">
        <v>https://elmerscountrystore.com/</v>
      </c>
      <c r="K68" t="str">
        <v>https://en.wikipedia.org/wiki/Upper_Saddle_River,_New_Jersey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</row>
    <row r="69" spans="1:47" x14ac:dyDescent="0.2">
      <c r="A69" t="str">
        <v>Waldwick</v>
      </c>
      <c r="B69" t="str">
        <v>Bergen</v>
      </c>
      <c r="C69" t="str">
        <v>3400376400</v>
      </c>
      <c r="D69" t="str">
        <v>borough</v>
      </c>
      <c r="E69" t="str">
        <v>unvisited</v>
      </c>
      <c r="F69">
        <v>0</v>
      </c>
      <c r="G69">
        <v>0</v>
      </c>
      <c r="H69">
        <v>0</v>
      </c>
      <c r="I69">
        <v>0</v>
      </c>
      <c r="J69">
        <v>0</v>
      </c>
      <c r="K69" t="str">
        <v>https://en.wikipedia.org/wiki/Waldwick,_New_Jersey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</row>
    <row r="70" spans="1:47" x14ac:dyDescent="0.2">
      <c r="A70" t="str">
        <v>Wallington</v>
      </c>
      <c r="B70" t="str">
        <v>Bergen</v>
      </c>
      <c r="C70" t="str">
        <v>3400376490</v>
      </c>
      <c r="D70" t="str">
        <v>borough</v>
      </c>
      <c r="E70" t="str">
        <v>unvisited</v>
      </c>
      <c r="F70">
        <v>0</v>
      </c>
      <c r="G70">
        <v>0</v>
      </c>
      <c r="H70">
        <v>0</v>
      </c>
      <c r="I70">
        <v>0</v>
      </c>
      <c r="J70">
        <v>0</v>
      </c>
      <c r="K70" t="str">
        <v>https://en.wikipedia.org/wiki/Wallington,_New_Jersey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</row>
    <row r="71" spans="1:47" x14ac:dyDescent="0.2">
      <c r="A71" t="str">
        <v>Washington</v>
      </c>
      <c r="B71" t="str">
        <v>Bergen</v>
      </c>
      <c r="C71" t="str">
        <v>3400377135</v>
      </c>
      <c r="D71" t="str">
        <v>township</v>
      </c>
      <c r="E71" t="str">
        <v>unvisited</v>
      </c>
      <c r="F71">
        <v>0</v>
      </c>
      <c r="G71">
        <v>0</v>
      </c>
      <c r="H71">
        <v>0</v>
      </c>
      <c r="I71">
        <v>0</v>
      </c>
      <c r="J71">
        <v>0</v>
      </c>
      <c r="K71" t="str">
        <v>https://en.wikipedia.org/wiki/Washington_Township,_Bergen_County,_New_Jersey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</row>
    <row r="72" spans="1:47" x14ac:dyDescent="0.2">
      <c r="A72" t="str">
        <v>Westwood</v>
      </c>
      <c r="B72" t="str">
        <v>Bergen</v>
      </c>
      <c r="C72" t="str">
        <v>3400380270</v>
      </c>
      <c r="D72" t="str">
        <v>borough</v>
      </c>
      <c r="E72" t="str">
        <v>unvisited</v>
      </c>
      <c r="F72">
        <v>0</v>
      </c>
      <c r="G72">
        <v>0</v>
      </c>
      <c r="H72">
        <v>0</v>
      </c>
      <c r="I72">
        <v>0</v>
      </c>
      <c r="J72">
        <v>0</v>
      </c>
      <c r="K72" t="str">
        <v>https://en.wikipedia.org/wiki/Westwood,_New_Jersey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</row>
    <row r="73" spans="1:47" x14ac:dyDescent="0.2">
      <c r="A73" t="str">
        <v>Wood-Ridge</v>
      </c>
      <c r="B73" t="str">
        <v>Bergen</v>
      </c>
      <c r="C73" t="str">
        <v>3400382570</v>
      </c>
      <c r="D73" t="str">
        <v>borough</v>
      </c>
      <c r="E73" t="str">
        <v>unvisited</v>
      </c>
      <c r="F73">
        <v>0</v>
      </c>
      <c r="G73">
        <v>0</v>
      </c>
      <c r="H73">
        <v>0</v>
      </c>
      <c r="I73">
        <v>0</v>
      </c>
      <c r="J73">
        <v>0</v>
      </c>
      <c r="K73" t="str">
        <v>https://en.wikipedia.org/wiki/Wood-Ridge,_New_Jersey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</row>
    <row r="74" spans="1:47" x14ac:dyDescent="0.2">
      <c r="A74" t="str">
        <v>Woodcliff Lake</v>
      </c>
      <c r="B74" t="str">
        <v>Bergen</v>
      </c>
      <c r="C74" t="str">
        <v>3400382300</v>
      </c>
      <c r="D74" t="str">
        <v>borough</v>
      </c>
      <c r="E74" t="str">
        <v>unvisited</v>
      </c>
      <c r="F74">
        <v>0</v>
      </c>
      <c r="G74">
        <v>0</v>
      </c>
      <c r="H74">
        <v>0</v>
      </c>
      <c r="I74">
        <v>0</v>
      </c>
      <c r="J74">
        <v>0</v>
      </c>
      <c r="K74" t="str">
        <v>https://en.wikipedia.org/wiki/Woodcliff_Lake,_New_Jersey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</row>
    <row r="75" spans="1:47" x14ac:dyDescent="0.2">
      <c r="A75" t="str">
        <v>Wyckoff</v>
      </c>
      <c r="B75" t="str">
        <v>Bergen</v>
      </c>
      <c r="C75" t="str">
        <v>3400383050</v>
      </c>
      <c r="D75" t="str">
        <v>township</v>
      </c>
      <c r="E75" t="str">
        <v>unvisited</v>
      </c>
      <c r="F75">
        <v>0</v>
      </c>
      <c r="G75">
        <v>0</v>
      </c>
      <c r="H75">
        <v>0</v>
      </c>
      <c r="I75">
        <v>0</v>
      </c>
      <c r="J75">
        <v>0</v>
      </c>
      <c r="K75" t="str">
        <v>https://en.wikipedia.org/wiki/Wyckoff_Township,_New_Jersey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45"/>
  <sheetViews>
    <sheetView workbookViewId="0">
      <pane xSplit="3" ySplit="5" topLeftCell="D6" activePane="bottomRight" state="frozen"/>
      <selection pane="topRight"/>
      <selection pane="bottomLeft"/>
      <selection pane="bottomRight" sqref="A1:AU1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1730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COUNTIF(Data!B$3:B$602,"Burlington")</f>
        <v>40</v>
      </c>
      <c r="C2" s="19" t="s">
        <v>1724</v>
      </c>
      <c r="D2" s="32">
        <f>COUNTIFS(Data!B$3:B$602,"Burlington",Data!E3:E602,"visited")+COUNTIFS(Data!B$3:B$602,"Burlington",Data!E3:E602,"queued")+COUNTIFS(Data!B$3:B$602,"Burlington",Data!E3:E602,"pre-challenge")</f>
        <v>20</v>
      </c>
      <c r="E2" s="20" t="s">
        <v>1725</v>
      </c>
      <c r="F2" s="33">
        <f>B2-D2</f>
        <v>20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45">_xlfn._xlws.FILTER(Data!A$3:AU$602,Data!B$3:B$602="Burlington","")</f>
        <v>Bass River</v>
      </c>
      <c r="B6" t="str">
        <v>Burlington</v>
      </c>
      <c r="C6" t="str">
        <v>3400503370</v>
      </c>
      <c r="D6" t="str">
        <v>township</v>
      </c>
      <c r="E6" t="str">
        <v>queued</v>
      </c>
      <c r="F6">
        <v>224</v>
      </c>
      <c r="G6" t="str">
        <v>Sad Boyz</v>
      </c>
      <c r="H6">
        <v>45529</v>
      </c>
      <c r="I6" t="str">
        <v>Sad Boyz</v>
      </c>
      <c r="J6" t="str">
        <v>https://sadboyzbites.com/</v>
      </c>
      <c r="K6" t="str">
        <v>https://en.wikipedia.org/wiki/Bass_River_Township,_New_Jersey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Beverly</v>
      </c>
      <c r="B7" t="str">
        <v>Burlington</v>
      </c>
      <c r="C7" t="str">
        <v>3400505740</v>
      </c>
      <c r="D7" t="str">
        <v>city</v>
      </c>
      <c r="E7" t="str">
        <v>queued</v>
      </c>
      <c r="F7">
        <v>248</v>
      </c>
      <c r="G7" t="str">
        <v>Taco Birria</v>
      </c>
      <c r="H7">
        <v>45613</v>
      </c>
      <c r="I7" t="str">
        <v>Taco Birria</v>
      </c>
      <c r="J7">
        <v>0</v>
      </c>
      <c r="K7" t="str">
        <v>https://en.wikipedia.org/wiki/Beverly,_New_Jersey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Bordentown</v>
      </c>
      <c r="B8" t="str">
        <v>Burlington</v>
      </c>
      <c r="C8" t="str">
        <v>3400506670</v>
      </c>
      <c r="D8" t="str">
        <v>city</v>
      </c>
      <c r="E8" t="str">
        <v>visited</v>
      </c>
      <c r="F8">
        <v>130</v>
      </c>
      <c r="G8" t="str">
        <v>Marcello's</v>
      </c>
      <c r="H8">
        <v>45221</v>
      </c>
      <c r="I8" t="str">
        <v>Marcello's</v>
      </c>
      <c r="J8" t="str">
        <v>https://marcellosbordentown.com/</v>
      </c>
      <c r="K8" t="str">
        <v>https://en.wikipedia.org/wiki/Bordentown,_New_Jersey</v>
      </c>
      <c r="L8" t="str">
        <v>NJ Town #130: Bordentown City</v>
      </c>
      <c r="M8" t="str">
        <v>https://www.instagram.com/p/DZFgLddRvHt/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tr">
        <v>NJ Town #130: Bordentown City</v>
      </c>
      <c r="AG8" t="str">
        <v>https://www.facebook.com/share/r/1BYX7yi85z/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Bordentown</v>
      </c>
      <c r="B9" t="str">
        <v>Burlington</v>
      </c>
      <c r="C9" t="str">
        <v>3400506700</v>
      </c>
      <c r="D9" t="str">
        <v>township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https://en.wikipedia.org/wiki/Bordentown_Township,_New_Jersey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Burlington</v>
      </c>
      <c r="B10" t="str">
        <v>Burlington</v>
      </c>
      <c r="C10" t="str">
        <v>3400508920</v>
      </c>
      <c r="D10" t="str">
        <v>city</v>
      </c>
      <c r="E10" t="str">
        <v>queued</v>
      </c>
      <c r="F10">
        <v>247</v>
      </c>
      <c r="G10" t="str">
        <v>The Union House</v>
      </c>
      <c r="H10">
        <v>45613</v>
      </c>
      <c r="I10" t="str">
        <v>The Union House</v>
      </c>
      <c r="J10" t="str">
        <v>https://www.unionhouseburlington.com/</v>
      </c>
      <c r="K10" t="str">
        <v>https://en.wikipedia.org/wiki/Burlington,_New_Jersey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Burlington</v>
      </c>
      <c r="B11" t="str">
        <v>Burlington</v>
      </c>
      <c r="C11" t="str">
        <v>3400508950</v>
      </c>
      <c r="D11" t="str">
        <v>township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https://en.wikipedia.org/wiki/Burlington_Township,_New_Jersey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Chesterfield</v>
      </c>
      <c r="B12" t="str">
        <v>Burlington</v>
      </c>
      <c r="C12" t="str">
        <v>3400512670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https://en.wikipedia.org/wiki/Chesterfield_Township,_New_Jersey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Cinnaminson</v>
      </c>
      <c r="B13" t="str">
        <v>Burlington</v>
      </c>
      <c r="C13" t="str">
        <v>3400512940</v>
      </c>
      <c r="D13" t="str">
        <v>township</v>
      </c>
      <c r="E13" t="str">
        <v>queued</v>
      </c>
      <c r="F13">
        <v>265</v>
      </c>
      <c r="G13" t="str">
        <v>Hibachi Grill &amp; Supreme Buffet</v>
      </c>
      <c r="H13">
        <v>45654</v>
      </c>
      <c r="I13" t="str">
        <v>Hibachi Grill &amp; Supreme Buffet</v>
      </c>
      <c r="J13" t="str">
        <v>http://www.hgsupremebuffet.com/</v>
      </c>
      <c r="K13" t="str">
        <v>https://en.wikipedia.org/wiki/Cinnaminson_Township,_New_Jersey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Delanco</v>
      </c>
      <c r="B14" t="str">
        <v>Burlington</v>
      </c>
      <c r="C14" t="str">
        <v>3400517080</v>
      </c>
      <c r="D14" t="str">
        <v>township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https://en.wikipedia.org/wiki/Delanco_Township,_New_Jersey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Delran</v>
      </c>
      <c r="B15" t="str">
        <v>Burlington</v>
      </c>
      <c r="C15" t="str">
        <v>3400517440</v>
      </c>
      <c r="D15" t="str">
        <v>township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https://en.wikipedia.org/wiki/Delran_Township,_New_Jersey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Eastampton</v>
      </c>
      <c r="B16" t="str">
        <v>Burlington</v>
      </c>
      <c r="C16" t="str">
        <v>3400518790</v>
      </c>
      <c r="D16" t="str">
        <v>township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https://en.wikipedia.org/wiki/Eastampton_Township,_New_Jersey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Edgewater Park</v>
      </c>
      <c r="B17" t="str">
        <v>Burlington</v>
      </c>
      <c r="C17" t="str">
        <v>3400520050</v>
      </c>
      <c r="D17" t="str">
        <v>township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https://en.wikipedia.org/wiki/Edgewater_Park_Township,_New_Jersey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Evesham</v>
      </c>
      <c r="B18" t="str">
        <v>Burlington</v>
      </c>
      <c r="C18" t="str">
        <v>3400522110</v>
      </c>
      <c r="D18" t="str">
        <v>township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https://en.wikipedia.org/wiki/Evesham_Township,_New_Jersey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Fieldsboro</v>
      </c>
      <c r="B19" t="str">
        <v>Burlington</v>
      </c>
      <c r="C19" t="str">
        <v>3400523250</v>
      </c>
      <c r="D19" t="str">
        <v>borough</v>
      </c>
      <c r="E19" t="str">
        <v>queued</v>
      </c>
      <c r="F19">
        <v>263</v>
      </c>
      <c r="G19" t="str">
        <v>Mario &amp; Franks II</v>
      </c>
      <c r="H19">
        <v>45682</v>
      </c>
      <c r="I19" t="str">
        <v>Mario &amp; Franks II</v>
      </c>
      <c r="J19" t="str">
        <v>https://www.marioandfranks.com/</v>
      </c>
      <c r="K19" t="str">
        <v>https://en.wikipedia.org/wiki/Fieldsboro,_New_Jersey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Florence</v>
      </c>
      <c r="B20" t="str">
        <v>Burlington</v>
      </c>
      <c r="C20" t="str">
        <v>3400523850</v>
      </c>
      <c r="D20" t="str">
        <v>township</v>
      </c>
      <c r="E20" t="str">
        <v>pre-challenge</v>
      </c>
      <c r="F20">
        <v>0</v>
      </c>
      <c r="G20" t="str">
        <v>Friends' House - Birthday Party</v>
      </c>
      <c r="H20">
        <v>45073</v>
      </c>
      <c r="I20">
        <v>0</v>
      </c>
      <c r="J20">
        <v>0</v>
      </c>
      <c r="K20" t="str">
        <v>https://en.wikipedia.org/wiki/Florence_Township,_New_Jersey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Hainesport</v>
      </c>
      <c r="B21" t="str">
        <v>Burlington</v>
      </c>
      <c r="C21" t="str">
        <v>3400529010</v>
      </c>
      <c r="D21" t="str">
        <v>township</v>
      </c>
      <c r="E21" t="str">
        <v>visited</v>
      </c>
      <c r="F21">
        <v>115</v>
      </c>
      <c r="G21" t="str">
        <v>Lillo's Tomato Pies</v>
      </c>
      <c r="H21">
        <v>45178</v>
      </c>
      <c r="I21" t="str">
        <v>Lillo's Tomato Pies</v>
      </c>
      <c r="J21" t="str">
        <v>https://lillostomatopies.com/</v>
      </c>
      <c r="K21" t="str">
        <v>https://en.wikipedia.org/wiki/Hainesport_Township,_New_Jersey</v>
      </c>
      <c r="L21" t="str">
        <v>NJ Town #115: Hainesport</v>
      </c>
      <c r="M21" t="str">
        <v>https://www.instagram.com/p/DKQs2ySxUEk/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tr">
        <v>NJ Town #115: Hainesport</v>
      </c>
      <c r="AG21" t="str">
        <v>https://www.facebook.com/reel/3551711418468987</v>
      </c>
      <c r="AH21">
        <v>0</v>
      </c>
      <c r="AI21">
        <v>0</v>
      </c>
      <c r="AJ21">
        <v>0</v>
      </c>
      <c r="AK21">
        <v>0</v>
      </c>
      <c r="AL21" t="str">
        <v>Town #115</v>
      </c>
      <c r="AM21" t="str">
        <v>https://www.instagram.com/p/DKQs2ySxUEk/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Lumberton</v>
      </c>
      <c r="B22" t="str">
        <v>Burlington</v>
      </c>
      <c r="C22" t="str">
        <v>3400542060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https://en.wikipedia.org/wiki/Lumberton_Township,_New_Jersey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Mansfield</v>
      </c>
      <c r="B23" t="str">
        <v>Burlington</v>
      </c>
      <c r="C23" t="str">
        <v>3400543290</v>
      </c>
      <c r="D23" t="str">
        <v>township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https://en.wikipedia.org/wiki/Mansfield_Township,_Burlington_County,_New_Jersey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Maple Shade</v>
      </c>
      <c r="B24" t="str">
        <v>Burlington</v>
      </c>
      <c r="C24" t="str">
        <v>3400543740</v>
      </c>
      <c r="D24" t="str">
        <v>township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https://en.wikipedia.org/wiki/Maple_Shade_Township,_New_Jersey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Medford</v>
      </c>
      <c r="B25" t="str">
        <v>Burlington</v>
      </c>
      <c r="C25" t="str">
        <v>3400545120</v>
      </c>
      <c r="D25" t="str">
        <v>township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https://en.wikipedia.org/wiki/Medford_Township,_New_Jersey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Medford Lakes</v>
      </c>
      <c r="B26" t="str">
        <v>Burlington</v>
      </c>
      <c r="C26" t="str">
        <v>3400545210</v>
      </c>
      <c r="D26" t="str">
        <v>borough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https://en.wikipedia.org/wiki/Medford_Lakes,_New_Jersey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Moorestown</v>
      </c>
      <c r="B27" t="str">
        <v>Burlington</v>
      </c>
      <c r="C27" t="str">
        <v>3400547880</v>
      </c>
      <c r="D27" t="str">
        <v>township</v>
      </c>
      <c r="E27" t="str">
        <v>pre-challenge</v>
      </c>
      <c r="F27">
        <v>0</v>
      </c>
      <c r="G27" t="str">
        <v>Yard House</v>
      </c>
      <c r="H27">
        <v>44592</v>
      </c>
      <c r="I27" t="str">
        <v>Yard House</v>
      </c>
      <c r="J27" t="str">
        <v>https://www.yardhouse.com/</v>
      </c>
      <c r="K27" t="str">
        <v>https://en.wikipedia.org/wiki/Moorestown_Township,_New_Jersey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Mount Holly</v>
      </c>
      <c r="B28" t="str">
        <v>Burlington</v>
      </c>
      <c r="C28" t="str">
        <v>3400548900</v>
      </c>
      <c r="D28" t="str">
        <v>township</v>
      </c>
      <c r="E28" t="str">
        <v>visited</v>
      </c>
      <c r="F28">
        <v>114</v>
      </c>
      <c r="G28" t="str">
        <v>B-Unos</v>
      </c>
      <c r="H28">
        <v>45178</v>
      </c>
      <c r="I28" t="str">
        <v>B-UNOS</v>
      </c>
      <c r="J28" t="str">
        <v>https://bunosbbb.com/bunosmtholly</v>
      </c>
      <c r="K28" t="str">
        <v>https://en.wikipedia.org/wiki/Mount_Holly_Township,_New_Jersey</v>
      </c>
      <c r="L28" t="str">
        <v>NJ Town #114: Mount Holly</v>
      </c>
      <c r="M28" t="str">
        <v>https://www.instagram.com/p/DJ7Gzp6xnp0/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tr">
        <v>NJ Town #114: Mount Holly</v>
      </c>
      <c r="AG28" t="str">
        <v>https://www.facebook.com/reel/1132004315359798</v>
      </c>
      <c r="AH28">
        <v>0</v>
      </c>
      <c r="AI28">
        <v>0</v>
      </c>
      <c r="AJ28">
        <v>0</v>
      </c>
      <c r="AK28">
        <v>0</v>
      </c>
      <c r="AL28" t="str">
        <v>Town #114</v>
      </c>
      <c r="AM28" t="str">
        <v>https://www.instagram.com/p/DJ7Gzp6xnp0/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Mount Laurel</v>
      </c>
      <c r="B29" t="str">
        <v>Burlington</v>
      </c>
      <c r="C29" t="str">
        <v>3400549020</v>
      </c>
      <c r="D29" t="str">
        <v>township</v>
      </c>
      <c r="E29" t="str">
        <v>visited</v>
      </c>
      <c r="F29">
        <v>116</v>
      </c>
      <c r="G29" t="str">
        <v>Manila Cafe &amp; Asian Mart</v>
      </c>
      <c r="H29">
        <v>45178</v>
      </c>
      <c r="I29">
        <v>0</v>
      </c>
      <c r="J29">
        <v>0</v>
      </c>
      <c r="K29" t="str">
        <v>https://en.wikipedia.org/wiki/Mount_Laurel_Township,_New_Jersey</v>
      </c>
      <c r="L29" t="str">
        <v>NJ Town #116: Mount Laurel</v>
      </c>
      <c r="M29" t="str">
        <v>https://www.instagram.com/p/DK18MMBRK3U/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tr">
        <v>NJ Town #116: Mount Laurel</v>
      </c>
      <c r="AG29" t="str">
        <v>https://www.facebook.com/reel/2980026428868561</v>
      </c>
      <c r="AH29">
        <v>0</v>
      </c>
      <c r="AI29">
        <v>0</v>
      </c>
      <c r="AJ29">
        <v>0</v>
      </c>
      <c r="AK29">
        <v>0</v>
      </c>
      <c r="AL29" t="str">
        <v>Town #116</v>
      </c>
      <c r="AM29" t="str">
        <v>https://www.instagram.com/p/DK18MMBRK3U/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New Hanover</v>
      </c>
      <c r="B30" t="str">
        <v>Burlington</v>
      </c>
      <c r="C30" t="str">
        <v>3400551510</v>
      </c>
      <c r="D30" t="str">
        <v>township</v>
      </c>
      <c r="E30" t="str">
        <v>unvisited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https://en.wikipedia.org/wiki/New_Hanover_Township,_New_Jersey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North Hanover</v>
      </c>
      <c r="B31" t="str">
        <v>Burlington</v>
      </c>
      <c r="C31" t="str">
        <v>3400553070</v>
      </c>
      <c r="D31" t="str">
        <v>township</v>
      </c>
      <c r="E31" t="str">
        <v>unvisited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https://en.wikipedia.org/wiki/North_Hanover_Township,_New_Jersey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t="str">
        <v>Palmyra</v>
      </c>
      <c r="B32" t="str">
        <v>Burlington</v>
      </c>
      <c r="C32" t="str">
        <v>3400555800</v>
      </c>
      <c r="D32" t="str">
        <v>borough</v>
      </c>
      <c r="E32" t="str">
        <v>unvisited</v>
      </c>
      <c r="F32">
        <v>0</v>
      </c>
      <c r="G32">
        <v>0</v>
      </c>
      <c r="H32">
        <v>0</v>
      </c>
      <c r="I32">
        <v>0</v>
      </c>
      <c r="J32">
        <v>0</v>
      </c>
      <c r="K32" t="str">
        <v>https://en.wikipedia.org/wiki/Palmyra,_New_Jersey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t="str">
        <v>Pemberton</v>
      </c>
      <c r="B33" t="str">
        <v>Burlington</v>
      </c>
      <c r="C33" t="str">
        <v>3400557480</v>
      </c>
      <c r="D33" t="str">
        <v>borough</v>
      </c>
      <c r="E33" t="str">
        <v>queued</v>
      </c>
      <c r="F33">
        <v>144</v>
      </c>
      <c r="G33" t="str">
        <v>Burger King</v>
      </c>
      <c r="H33">
        <v>45254</v>
      </c>
      <c r="I33">
        <v>0</v>
      </c>
      <c r="J33">
        <v>0</v>
      </c>
      <c r="K33" t="str">
        <v>https://en.wikipedia.org/wiki/Pemberton,_New_Jersey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t="str">
        <v>Pemberton</v>
      </c>
      <c r="B34" t="str">
        <v>Burlington</v>
      </c>
      <c r="C34" t="str">
        <v>3400557510</v>
      </c>
      <c r="D34" t="str">
        <v>township</v>
      </c>
      <c r="E34" t="str">
        <v>unvisited</v>
      </c>
      <c r="F34">
        <v>0</v>
      </c>
      <c r="G34">
        <v>0</v>
      </c>
      <c r="H34">
        <v>0</v>
      </c>
      <c r="I34">
        <v>0</v>
      </c>
      <c r="J34">
        <v>0</v>
      </c>
      <c r="K34" t="str">
        <v>https://en.wikipedia.org/wiki/Pemberton_Township,_New_Jersey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t="str">
        <v>Riverside</v>
      </c>
      <c r="B35" t="str">
        <v>Burlington</v>
      </c>
      <c r="C35" t="str">
        <v>3400563510</v>
      </c>
      <c r="D35" t="str">
        <v>township</v>
      </c>
      <c r="E35" t="str">
        <v>unvisited</v>
      </c>
      <c r="F35">
        <v>0</v>
      </c>
      <c r="G35">
        <v>0</v>
      </c>
      <c r="H35">
        <v>0</v>
      </c>
      <c r="I35">
        <v>0</v>
      </c>
      <c r="J35">
        <v>0</v>
      </c>
      <c r="K35" t="str">
        <v>https://en.wikipedia.org/wiki/Riverside_Township,_New_Jersey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">
      <c r="A36" t="str">
        <v>Riverton</v>
      </c>
      <c r="B36" t="str">
        <v>Burlington</v>
      </c>
      <c r="C36" t="str">
        <v>3400563660</v>
      </c>
      <c r="D36" t="str">
        <v>borough</v>
      </c>
      <c r="E36" t="str">
        <v>queued</v>
      </c>
      <c r="F36">
        <v>286</v>
      </c>
      <c r="G36" t="str">
        <v>The Early Bird</v>
      </c>
      <c r="H36">
        <v>46119</v>
      </c>
      <c r="I36" t="str">
        <v>The Early Bird</v>
      </c>
      <c r="J36" t="str">
        <v>https://www.earlybirdnj.com/</v>
      </c>
      <c r="K36" t="str">
        <v>https://en.wikipedia.org/wiki/Riverton,_New_Jersey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tr">
        <v>Shamong</v>
      </c>
      <c r="B37" t="str">
        <v>Burlington</v>
      </c>
      <c r="C37" t="str">
        <v>3400566810</v>
      </c>
      <c r="D37" t="str">
        <v>township</v>
      </c>
      <c r="E37" t="str">
        <v>unvisited</v>
      </c>
      <c r="F37">
        <v>0</v>
      </c>
      <c r="G37">
        <v>0</v>
      </c>
      <c r="H37">
        <v>0</v>
      </c>
      <c r="I37">
        <v>0</v>
      </c>
      <c r="J37">
        <v>0</v>
      </c>
      <c r="K37" t="str">
        <v>https://en.wikipedia.org/wiki/Shamong_Township,_New_Jersey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t="str">
        <v>Southampton</v>
      </c>
      <c r="B38" t="str">
        <v>Burlington</v>
      </c>
      <c r="C38" t="str">
        <v>3400568610</v>
      </c>
      <c r="D38" t="str">
        <v>township</v>
      </c>
      <c r="E38" t="str">
        <v>queued</v>
      </c>
      <c r="F38">
        <v>262</v>
      </c>
      <c r="G38" t="str">
        <v>Vincetown Diner</v>
      </c>
      <c r="H38">
        <v>45682</v>
      </c>
      <c r="I38" t="str">
        <v>Vincentown Diner</v>
      </c>
      <c r="J38" t="str">
        <v>https://vincentowndiner.com/</v>
      </c>
      <c r="K38" t="str">
        <v>https://en.wikipedia.org/wiki/Southampton_Township,_New_Jersey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">
      <c r="A39" t="str">
        <v>Springfield</v>
      </c>
      <c r="B39" t="str">
        <v>Burlington</v>
      </c>
      <c r="C39" t="str">
        <v>3400569990</v>
      </c>
      <c r="D39" t="str">
        <v>township</v>
      </c>
      <c r="E39" t="str">
        <v>queued</v>
      </c>
      <c r="F39">
        <v>143</v>
      </c>
      <c r="G39" t="str">
        <v>Pandora Diner</v>
      </c>
      <c r="H39">
        <v>45254</v>
      </c>
      <c r="I39" t="str">
        <v>Pandora Diner</v>
      </c>
      <c r="J39" t="str">
        <v>https://www.pandoradiner.com/</v>
      </c>
      <c r="K39" t="str">
        <v>https://en.wikipedia.org/wiki/Springfield_Township,_Burlington_County,_New_Jersey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">
      <c r="A40" t="str">
        <v>Tabernacle</v>
      </c>
      <c r="B40" t="str">
        <v>Burlington</v>
      </c>
      <c r="C40" t="str">
        <v>3400572060</v>
      </c>
      <c r="D40" t="str">
        <v>township</v>
      </c>
      <c r="E40" t="str">
        <v>queued</v>
      </c>
      <c r="F40">
        <v>243</v>
      </c>
      <c r="G40" t="str">
        <v>The Village Pub &amp; Package Goods</v>
      </c>
      <c r="H40">
        <v>45584</v>
      </c>
      <c r="I40">
        <v>0</v>
      </c>
      <c r="J40">
        <v>0</v>
      </c>
      <c r="K40" t="str">
        <v>https://en.wikipedia.org/wiki/Tabernacle_Township,_New_Jersey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">
      <c r="A41" t="str">
        <v>Washington</v>
      </c>
      <c r="B41" t="str">
        <v>Burlington</v>
      </c>
      <c r="C41" t="str">
        <v>3400577150</v>
      </c>
      <c r="D41" t="str">
        <v>township</v>
      </c>
      <c r="E41" t="str">
        <v>queued</v>
      </c>
      <c r="F41">
        <v>225</v>
      </c>
      <c r="G41" t="str">
        <v>JB's Lunch Box</v>
      </c>
      <c r="H41">
        <v>45529</v>
      </c>
      <c r="I41">
        <v>0</v>
      </c>
      <c r="J41">
        <v>0</v>
      </c>
      <c r="K41" t="str">
        <v>https://en.wikipedia.org/wiki/Washington_Township,_Burlington_County,_New_Jersey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">
      <c r="A42" t="str">
        <v>Westampton</v>
      </c>
      <c r="B42" t="str">
        <v>Burlington</v>
      </c>
      <c r="C42" t="str">
        <v>3400578200</v>
      </c>
      <c r="D42" t="str">
        <v>township</v>
      </c>
      <c r="E42" t="str">
        <v>queued</v>
      </c>
      <c r="F42">
        <v>270</v>
      </c>
      <c r="G42" t="str">
        <v>The Q Spot</v>
      </c>
      <c r="H42">
        <v>45782</v>
      </c>
      <c r="I42" t="str">
        <v>The Q Spot</v>
      </c>
      <c r="J42" t="str">
        <v>https://theqspotnj.com/</v>
      </c>
      <c r="K42" t="str">
        <v>https://en.wikipedia.org/wiki/Westampton_Township,_New_Jersey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">
      <c r="A43" t="str">
        <v>Willingboro</v>
      </c>
      <c r="B43" t="str">
        <v>Burlington</v>
      </c>
      <c r="C43" t="str">
        <v>3400581440</v>
      </c>
      <c r="D43" t="str">
        <v>township</v>
      </c>
      <c r="E43" t="str">
        <v>visited</v>
      </c>
      <c r="F43">
        <v>88</v>
      </c>
      <c r="G43" t="str">
        <v>EFENDY Turkish Restaurant</v>
      </c>
      <c r="H43">
        <v>45116</v>
      </c>
      <c r="I43" t="str">
        <v>EFENDY Turkish Restaurant</v>
      </c>
      <c r="J43" t="str">
        <v>http://efendywillingboro.com/</v>
      </c>
      <c r="K43" t="str">
        <v>https://en.wikipedia.org/wiki/Willingboro_Township,_New_Jersey</v>
      </c>
      <c r="L43" t="str">
        <v>NJ Town #88: Willingboro</v>
      </c>
      <c r="M43" t="str">
        <v>https://www.instagram.com/p/DCxn3puxCkK/?img_index=1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tr">
        <v>NJ Town #88: Willingboro</v>
      </c>
      <c r="AG43" t="str">
        <v>https://www.facebook.com/permalink.php?story_fbid=pfbid0342NUrbgWYHmCaFQdN33ETkFzJ84LczVowMjBpdLKR24gFAx5FrcqmS9ftuHZrPTAl&amp;id=61569640546791</v>
      </c>
      <c r="AH43">
        <v>0</v>
      </c>
      <c r="AI43">
        <v>0</v>
      </c>
      <c r="AJ43">
        <v>0</v>
      </c>
      <c r="AK43">
        <v>0</v>
      </c>
      <c r="AL43" t="str">
        <v>Town #88</v>
      </c>
      <c r="AM43" t="str">
        <v>https://www.instagram.com/p/DCxn3puxCkK/?img_index=1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">
      <c r="A44" t="str">
        <v>Woodland</v>
      </c>
      <c r="B44" t="str">
        <v>Burlington</v>
      </c>
      <c r="C44" t="str">
        <v>3400582420</v>
      </c>
      <c r="D44" t="str">
        <v>township</v>
      </c>
      <c r="E44" t="str">
        <v>queued</v>
      </c>
      <c r="F44">
        <v>242</v>
      </c>
      <c r="G44" t="str">
        <v>Buzby's Eatery &amp; General Store</v>
      </c>
      <c r="H44">
        <v>45584</v>
      </c>
      <c r="I44">
        <v>0</v>
      </c>
      <c r="J44">
        <v>0</v>
      </c>
      <c r="K44" t="str">
        <v>https://en.wikipedia.org/wiki/Woodland_Township,_New_Jersey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2">
      <c r="A45" t="str">
        <v>Wrightstown</v>
      </c>
      <c r="B45" t="str">
        <v>Burlington</v>
      </c>
      <c r="C45" t="str">
        <v>3400582960</v>
      </c>
      <c r="D45" t="str">
        <v>borough</v>
      </c>
      <c r="E45" t="str">
        <v>unvisited</v>
      </c>
      <c r="F45">
        <v>0</v>
      </c>
      <c r="G45">
        <v>0</v>
      </c>
      <c r="H45">
        <v>0</v>
      </c>
      <c r="I45">
        <v>0</v>
      </c>
      <c r="J45">
        <v>0</v>
      </c>
      <c r="K45" t="str">
        <v>https://en.wikipedia.org/wiki/Wrightstown,_New_Jersey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41"/>
  <sheetViews>
    <sheetView workbookViewId="0">
      <pane xSplit="3" ySplit="5" topLeftCell="D6" activePane="bottomRight" state="frozen"/>
      <selection pane="topRight"/>
      <selection pane="bottomLeft"/>
      <selection pane="bottomRight" sqref="A1:AU1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1731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COUNTIF(Data!B$3:B$602,"Camden")</f>
        <v>36</v>
      </c>
      <c r="C2" s="19" t="s">
        <v>1724</v>
      </c>
      <c r="D2" s="32">
        <f>COUNTIFS(Data!B$3:B$602,"Camden",Data!E3:E602,"visited")+COUNTIFS(Data!B$3:B$602,"Camden",Data!E3:E602,"queued")+COUNTIFS(Data!B$3:B$602,"Camden",Data!E3:E602,"pre-challenge")</f>
        <v>11</v>
      </c>
      <c r="E2" s="20" t="s">
        <v>1725</v>
      </c>
      <c r="F2" s="33">
        <f>B2-D2</f>
        <v>25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41">_xlfn._xlws.FILTER(Data!A$3:AU$602,Data!B$3:B$602="Camden","")</f>
        <v>Audubon</v>
      </c>
      <c r="B6" t="str">
        <v>Camden</v>
      </c>
      <c r="C6" t="str">
        <v>3400702200</v>
      </c>
      <c r="D6" t="str">
        <v>borough</v>
      </c>
      <c r="E6" t="str">
        <v>queued</v>
      </c>
      <c r="F6">
        <v>283</v>
      </c>
      <c r="G6" t="str">
        <v>Cafe Nitido</v>
      </c>
      <c r="H6" t="str">
        <v>2025-12-31</v>
      </c>
      <c r="I6" t="str">
        <v>Café Nitido</v>
      </c>
      <c r="J6">
        <v>0</v>
      </c>
      <c r="K6" t="str">
        <v>https://en.wikipedia.org/wiki/Audubon,_New_Jersey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Audubon Park</v>
      </c>
      <c r="B7" t="str">
        <v>Camden</v>
      </c>
      <c r="C7" t="str">
        <v>3400702230</v>
      </c>
      <c r="D7" t="str">
        <v>borough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https://en.wikipedia.org/wiki/Audubon_Park,_New_Jersey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Barrington</v>
      </c>
      <c r="B8" t="str">
        <v>Camden</v>
      </c>
      <c r="C8" t="str">
        <v>3400703250</v>
      </c>
      <c r="D8" t="str">
        <v>borough</v>
      </c>
      <c r="E8" t="str">
        <v>queued</v>
      </c>
      <c r="F8">
        <v>275</v>
      </c>
      <c r="G8" t="str">
        <v>Old Rail Bar</v>
      </c>
      <c r="H8" t="str">
        <v>2025-06-16</v>
      </c>
      <c r="I8" t="str">
        <v>Old Rail Tavern</v>
      </c>
      <c r="J8" t="str">
        <v>https://theoldrailtavern.com/</v>
      </c>
      <c r="K8" t="str">
        <v>https://en.wikipedia.org/wiki/Barrington,_New_Jersey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Bellmawr</v>
      </c>
      <c r="B9" t="str">
        <v>Camden</v>
      </c>
      <c r="C9" t="str">
        <v>3400704750</v>
      </c>
      <c r="D9" t="str">
        <v>borough</v>
      </c>
      <c r="E9" t="str">
        <v>queued</v>
      </c>
      <c r="F9">
        <v>137</v>
      </c>
      <c r="G9" t="str">
        <v>Sakura Sushi &amp; Hibachi</v>
      </c>
      <c r="H9" t="str">
        <v>2023-11-05</v>
      </c>
      <c r="I9" t="str">
        <v>Sakura Sushi &amp; Hibachi</v>
      </c>
      <c r="J9" t="str">
        <v>https://bellmawrsakura.com/</v>
      </c>
      <c r="K9" t="str">
        <v>https://en.wikipedia.org/wiki/Bellmawr,_New_Jersey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Berlin</v>
      </c>
      <c r="B10" t="str">
        <v>Camden</v>
      </c>
      <c r="C10" t="str">
        <v>3400705440</v>
      </c>
      <c r="D10" t="str">
        <v>borough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https://en.wikipedia.org/wiki/Berlin,_New_Jersey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Berlin</v>
      </c>
      <c r="B11" t="str">
        <v>Camden</v>
      </c>
      <c r="C11" t="str">
        <v>3400705470</v>
      </c>
      <c r="D11" t="str">
        <v>township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https://en.wikipedia.org/wiki/Berlin_Township,_New_Jersey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Brooklawn</v>
      </c>
      <c r="B12" t="str">
        <v>Camden</v>
      </c>
      <c r="C12" t="str">
        <v>3400708170</v>
      </c>
      <c r="D12" t="str">
        <v>borough</v>
      </c>
      <c r="E12" t="str">
        <v>queued</v>
      </c>
      <c r="F12">
        <v>274</v>
      </c>
      <c r="G12" t="str">
        <v>Gaetano's of Brooklawn</v>
      </c>
      <c r="H12" t="str">
        <v>2025-06-16</v>
      </c>
      <c r="I12" t="str">
        <v>Gaetano's of Brooklawn</v>
      </c>
      <c r="J12" t="str">
        <v>https://gaetanosbrooklawn.com/</v>
      </c>
      <c r="K12" t="str">
        <v>https://en.wikipedia.org/wiki/Brooklawn,_New_Jersey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Camden</v>
      </c>
      <c r="B13" t="str">
        <v>Camden</v>
      </c>
      <c r="C13" t="str">
        <v>3400710000</v>
      </c>
      <c r="D13" t="str">
        <v>city</v>
      </c>
      <c r="E13" t="str">
        <v>queued</v>
      </c>
      <c r="F13">
        <v>289</v>
      </c>
      <c r="G13" t="str">
        <v>Donkey's Place Steaks</v>
      </c>
      <c r="H13">
        <v>46213</v>
      </c>
      <c r="I13" t="str">
        <v>Donkey's Place Steaks</v>
      </c>
      <c r="J13" t="str">
        <v>https://www.donkeysplace.com/</v>
      </c>
      <c r="K13" t="str">
        <v>https://en.wikipedia.org/wiki/Camden,_New_Jersey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Cherry Hill</v>
      </c>
      <c r="B14" t="str">
        <v>Camden</v>
      </c>
      <c r="C14" t="str">
        <v>3400712280</v>
      </c>
      <c r="D14" t="str">
        <v>township</v>
      </c>
      <c r="E14" t="str">
        <v>queued</v>
      </c>
      <c r="F14">
        <v>281</v>
      </c>
      <c r="G14" t="str">
        <v>Nan Xiang Soup Dumplings</v>
      </c>
      <c r="H14" t="str">
        <v>2025-10-07</v>
      </c>
      <c r="I14" t="str">
        <v>Nan Xiang Soup Dumplings</v>
      </c>
      <c r="J14" t="str">
        <v>https://nanxiangxiaolongbao.com/</v>
      </c>
      <c r="K14" t="str">
        <v>https://en.wikipedia.org/wiki/Cherry_Hill_Township,_New_Jersey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Chesilhurst</v>
      </c>
      <c r="B15" t="str">
        <v>Camden</v>
      </c>
      <c r="C15" t="str">
        <v>3400712550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https://en.wikipedia.org/wiki/Chesilhurst,_New_Jersey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Clementon</v>
      </c>
      <c r="B16" t="str">
        <v>Camden</v>
      </c>
      <c r="C16" t="str">
        <v>3400713420</v>
      </c>
      <c r="D16" t="str">
        <v>borough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https://en.wikipedia.org/wiki/Clementon,_New_Jersey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Collingswood</v>
      </c>
      <c r="B17" t="str">
        <v>Camden</v>
      </c>
      <c r="C17" t="str">
        <v>3400714260</v>
      </c>
      <c r="D17" t="str">
        <v>borough</v>
      </c>
      <c r="E17" t="str">
        <v>queued</v>
      </c>
      <c r="F17">
        <v>255</v>
      </c>
      <c r="G17" t="str">
        <v>Sabrina's Cafe</v>
      </c>
      <c r="H17" t="str">
        <v>2024-12-28</v>
      </c>
      <c r="I17" t="str">
        <v>Sabrina's Café</v>
      </c>
      <c r="J17" t="str">
        <v>https://www.sabrinascafe.com/</v>
      </c>
      <c r="K17" t="str">
        <v>https://en.wikipedia.org/wiki/Collingswood,_New_Jersey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Gibbsboro</v>
      </c>
      <c r="B18" t="str">
        <v>Camden</v>
      </c>
      <c r="C18" t="str">
        <v>3400726070</v>
      </c>
      <c r="D18" t="str">
        <v>borough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https://en.wikipedia.org/wiki/Gibbsboro,_New_Jersey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Gloucester</v>
      </c>
      <c r="B19" t="str">
        <v>Camden</v>
      </c>
      <c r="C19" t="str">
        <v>3400726760</v>
      </c>
      <c r="D19" t="str">
        <v>township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https://en.wikipedia.org/wiki/Gloucester_Township,_New_Jersey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Gloucester City</v>
      </c>
      <c r="B20" t="str">
        <v>Camden</v>
      </c>
      <c r="C20" t="str">
        <v>3400726820</v>
      </c>
      <c r="D20" t="str">
        <v>city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https://en.wikipedia.org/wiki/Gloucester_City,_New_Jersey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Haddon</v>
      </c>
      <c r="B21" t="str">
        <v>Camden</v>
      </c>
      <c r="C21" t="str">
        <v>3400728740</v>
      </c>
      <c r="D21" t="str">
        <v>township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https://en.wikipedia.org/wiki/Haddon_Township,_New_Jersey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Haddon Heights</v>
      </c>
      <c r="B22" t="str">
        <v>Camden</v>
      </c>
      <c r="C22" t="str">
        <v>3400728800</v>
      </c>
      <c r="D22" t="str">
        <v>borough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https://en.wikipedia.org/wiki/Haddon_Heights,_New_Jersey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Haddonfield</v>
      </c>
      <c r="B23" t="str">
        <v>Camden</v>
      </c>
      <c r="C23" t="str">
        <v>3400728770</v>
      </c>
      <c r="D23" t="str">
        <v>borough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https://en.wikipedia.org/wiki/Haddonfield,_New_Jersey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Hi-Nella</v>
      </c>
      <c r="B24" t="str">
        <v>Camden</v>
      </c>
      <c r="C24" t="str">
        <v>3400732220</v>
      </c>
      <c r="D24" t="str">
        <v>borough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https://en.wikipedia.org/wiki/Hi-Nella,_New_Jersey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Laurel Springs</v>
      </c>
      <c r="B25" t="str">
        <v>Camden</v>
      </c>
      <c r="C25" t="str">
        <v>3400739210</v>
      </c>
      <c r="D25" t="str">
        <v>borough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https://en.wikipedia.org/wiki/Laurel_Springs,_New_Jersey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Lawnside</v>
      </c>
      <c r="B26" t="str">
        <v>Camden</v>
      </c>
      <c r="C26" t="str">
        <v>3400739420</v>
      </c>
      <c r="D26" t="str">
        <v>borough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https://en.wikipedia.org/wiki/Lawnside,_New_Jersey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Lindenwold</v>
      </c>
      <c r="B27" t="str">
        <v>Camden</v>
      </c>
      <c r="C27" t="str">
        <v>3400740440</v>
      </c>
      <c r="D27" t="str">
        <v>borough</v>
      </c>
      <c r="E27" t="str">
        <v>unvisited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https://en.wikipedia.org/wiki/Lindenwold,_New_Jersey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Magnolia</v>
      </c>
      <c r="B28" t="str">
        <v>Camden</v>
      </c>
      <c r="C28" t="str">
        <v>3400742630</v>
      </c>
      <c r="D28" t="str">
        <v>borough</v>
      </c>
      <c r="E28" t="str">
        <v>unvisited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>https://en.wikipedia.org/wiki/Magnolia,_New_Jersey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Merchantville</v>
      </c>
      <c r="B29" t="str">
        <v>Camden</v>
      </c>
      <c r="C29" t="str">
        <v>3400745510</v>
      </c>
      <c r="D29" t="str">
        <v>borough</v>
      </c>
      <c r="E29" t="str">
        <v>queued</v>
      </c>
      <c r="F29">
        <v>284</v>
      </c>
      <c r="G29" t="str">
        <v>Blue Monkey Tavern</v>
      </c>
      <c r="H29" t="str">
        <v>2026-03-06</v>
      </c>
      <c r="I29" t="str">
        <v>Blue Monkey Tavern</v>
      </c>
      <c r="J29" t="str">
        <v>https://bluemonkeytavern.com/</v>
      </c>
      <c r="K29" t="str">
        <v>https://en.wikipedia.org/wiki/Merchantville,_New_Jersey</v>
      </c>
      <c r="L29" t="str">
        <v>NJ Town #284: Merchantville (Preview)</v>
      </c>
      <c r="M29" t="str">
        <v>https://www.instagram.com/p/DVoT0fykWka/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t="str">
        <v>Town #284 - Blue Monkey Tavern (Preview)</v>
      </c>
      <c r="AM29" t="str">
        <v>https://www.instagram.com/p/DVoT0fykWka/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Mount Ephraim</v>
      </c>
      <c r="B30" t="str">
        <v>Camden</v>
      </c>
      <c r="C30" t="str">
        <v>3400748750</v>
      </c>
      <c r="D30" t="str">
        <v>borough</v>
      </c>
      <c r="E30" t="str">
        <v>unvisited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https://en.wikipedia.org/wiki/Mount_Ephraim,_New_Jersey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Oaklyn</v>
      </c>
      <c r="B31" t="str">
        <v>Camden</v>
      </c>
      <c r="C31" t="str">
        <v>3400753880</v>
      </c>
      <c r="D31" t="str">
        <v>borough</v>
      </c>
      <c r="E31" t="str">
        <v>queued</v>
      </c>
      <c r="F31">
        <v>271</v>
      </c>
      <c r="G31" t="str">
        <v>Los Jalapenos Grill</v>
      </c>
      <c r="H31" t="str">
        <v>2025-05-05</v>
      </c>
      <c r="I31" t="str">
        <v>Los Jalapeños</v>
      </c>
      <c r="J31" t="str">
        <v>https://losjalapenosgrill.com/</v>
      </c>
      <c r="K31" t="str">
        <v>https://en.wikipedia.org/wiki/Oaklyn,_New_Jersey</v>
      </c>
      <c r="L31" t="str">
        <v>NJ Town #271: Oaklyn</v>
      </c>
      <c r="M31" t="str">
        <v>https://www.instagram.com/p/DX-Y8c5RTma/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t="str">
        <v>Pennsauken</v>
      </c>
      <c r="B32" t="str">
        <v>Camden</v>
      </c>
      <c r="C32" t="str">
        <v>3400757660</v>
      </c>
      <c r="D32" t="str">
        <v>township</v>
      </c>
      <c r="E32" t="str">
        <v>unvisited</v>
      </c>
      <c r="F32">
        <v>0</v>
      </c>
      <c r="G32">
        <v>0</v>
      </c>
      <c r="H32">
        <v>0</v>
      </c>
      <c r="I32">
        <v>0</v>
      </c>
      <c r="J32">
        <v>0</v>
      </c>
      <c r="K32" t="str">
        <v>https://en.wikipedia.org/wiki/Pennsauken_Township,_New_Jersey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t="str">
        <v>Pine Hill</v>
      </c>
      <c r="B33" t="str">
        <v>Camden</v>
      </c>
      <c r="C33" t="str">
        <v>3400758770</v>
      </c>
      <c r="D33" t="str">
        <v>borough</v>
      </c>
      <c r="E33" t="str">
        <v>unvisited</v>
      </c>
      <c r="F33">
        <v>0</v>
      </c>
      <c r="G33">
        <v>0</v>
      </c>
      <c r="H33">
        <v>0</v>
      </c>
      <c r="I33">
        <v>0</v>
      </c>
      <c r="J33">
        <v>0</v>
      </c>
      <c r="K33" t="str">
        <v>https://en.wikipedia.org/wiki/Pine_Hill,_New_Jersey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t="str">
        <v>Runnemede</v>
      </c>
      <c r="B34" t="str">
        <v>Camden</v>
      </c>
      <c r="C34" t="str">
        <v>3400765160</v>
      </c>
      <c r="D34" t="str">
        <v>borough</v>
      </c>
      <c r="E34" t="str">
        <v>queued</v>
      </c>
      <c r="F34">
        <v>288</v>
      </c>
      <c r="G34" t="str">
        <v>Phily Diner and Sport Bar</v>
      </c>
      <c r="H34">
        <v>46199</v>
      </c>
      <c r="I34" t="str">
        <v>Phily Diner and Sport Bar</v>
      </c>
      <c r="J34" t="str">
        <v>https://philysportbar.com/</v>
      </c>
      <c r="K34" t="str">
        <v>https://en.wikipedia.org/wiki/Runnemede,_New_Jersey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t="str">
        <v>Somerdale</v>
      </c>
      <c r="B35" t="str">
        <v>Camden</v>
      </c>
      <c r="C35" t="str">
        <v>3400768340</v>
      </c>
      <c r="D35" t="str">
        <v>borough</v>
      </c>
      <c r="E35" t="str">
        <v>unvisited</v>
      </c>
      <c r="F35">
        <v>0</v>
      </c>
      <c r="G35">
        <v>0</v>
      </c>
      <c r="H35">
        <v>0</v>
      </c>
      <c r="I35">
        <v>0</v>
      </c>
      <c r="J35">
        <v>0</v>
      </c>
      <c r="K35" t="str">
        <v>https://en.wikipedia.org/wiki/Somerdale,_New_Jersey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">
      <c r="A36" t="str">
        <v>Stratford</v>
      </c>
      <c r="B36" t="str">
        <v>Camden</v>
      </c>
      <c r="C36" t="str">
        <v>3400771220</v>
      </c>
      <c r="D36" t="str">
        <v>borough</v>
      </c>
      <c r="E36" t="str">
        <v>unvisited</v>
      </c>
      <c r="F36">
        <v>0</v>
      </c>
      <c r="G36">
        <v>0</v>
      </c>
      <c r="H36">
        <v>0</v>
      </c>
      <c r="I36">
        <v>0</v>
      </c>
      <c r="J36">
        <v>0</v>
      </c>
      <c r="K36" t="str">
        <v>https://en.wikipedia.org/wiki/Stratford,_New_Jersey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tr">
        <v>Tavistock</v>
      </c>
      <c r="B37" t="str">
        <v>Camden</v>
      </c>
      <c r="C37" t="str">
        <v>3400772240</v>
      </c>
      <c r="D37" t="str">
        <v>borough</v>
      </c>
      <c r="E37" t="str">
        <v>unvisited</v>
      </c>
      <c r="F37">
        <v>0</v>
      </c>
      <c r="G37">
        <v>0</v>
      </c>
      <c r="H37">
        <v>0</v>
      </c>
      <c r="I37">
        <v>0</v>
      </c>
      <c r="J37">
        <v>0</v>
      </c>
      <c r="K37" t="str">
        <v>https://en.wikipedia.org/wiki/Tavistock,_New_Jersey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t="str">
        <v>Voorhees</v>
      </c>
      <c r="B38" t="str">
        <v>Camden</v>
      </c>
      <c r="C38" t="str">
        <v>3400776220</v>
      </c>
      <c r="D38" t="str">
        <v>township</v>
      </c>
      <c r="E38" t="str">
        <v>unvisited</v>
      </c>
      <c r="F38">
        <v>0</v>
      </c>
      <c r="G38">
        <v>0</v>
      </c>
      <c r="H38">
        <v>0</v>
      </c>
      <c r="I38">
        <v>0</v>
      </c>
      <c r="J38">
        <v>0</v>
      </c>
      <c r="K38" t="str">
        <v>https://en.wikipedia.org/wiki/Voorhees_Township,_New_Jersey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">
      <c r="A39" t="str">
        <v>Waterford</v>
      </c>
      <c r="B39" t="str">
        <v>Camden</v>
      </c>
      <c r="C39" t="str">
        <v>3400777630</v>
      </c>
      <c r="D39" t="str">
        <v>township</v>
      </c>
      <c r="E39" t="str">
        <v>unvisited</v>
      </c>
      <c r="F39">
        <v>0</v>
      </c>
      <c r="G39">
        <v>0</v>
      </c>
      <c r="H39">
        <v>0</v>
      </c>
      <c r="I39">
        <v>0</v>
      </c>
      <c r="J39">
        <v>0</v>
      </c>
      <c r="K39" t="str">
        <v>https://en.wikipedia.org/wiki/Waterford_Township,_New_Jersey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">
      <c r="A40" t="str">
        <v>Winslow</v>
      </c>
      <c r="B40" t="str">
        <v>Camden</v>
      </c>
      <c r="C40" t="str">
        <v>3400781740</v>
      </c>
      <c r="D40" t="str">
        <v>township</v>
      </c>
      <c r="E40" t="str">
        <v>unvisited</v>
      </c>
      <c r="F40">
        <v>0</v>
      </c>
      <c r="G40">
        <v>0</v>
      </c>
      <c r="H40">
        <v>0</v>
      </c>
      <c r="I40">
        <v>0</v>
      </c>
      <c r="J40">
        <v>0</v>
      </c>
      <c r="K40" t="str">
        <v>https://en.wikipedia.org/wiki/Winslow_Township,_New_Jersey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">
      <c r="A41" t="str">
        <v>Woodlynne</v>
      </c>
      <c r="B41" t="str">
        <v>Camden</v>
      </c>
      <c r="C41" t="str">
        <v>3400782450</v>
      </c>
      <c r="D41" t="str">
        <v>borough</v>
      </c>
      <c r="E41" t="str">
        <v>queued</v>
      </c>
      <c r="F41">
        <v>268</v>
      </c>
      <c r="G41" t="str">
        <v>Food Reyes</v>
      </c>
      <c r="H41" t="str">
        <v>2025-04-21</v>
      </c>
      <c r="I41" t="str">
        <v>Food Reyes</v>
      </c>
      <c r="J41" t="str">
        <v>https://reyesfood.com/</v>
      </c>
      <c r="K41" t="str">
        <v>https://en.wikipedia.org/wiki/Woodlynne,_New_Jersey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21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1732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COUNTIF(Data!B$3:B$602,"Cape May")</f>
        <v>16</v>
      </c>
      <c r="C2" s="19" t="s">
        <v>1724</v>
      </c>
      <c r="D2" s="32">
        <f>COUNTIFS(Data!B$3:B$602,"Cape May",Data!E3:E602,"visited")+COUNTIFS(Data!B$3:B$602,"Cape May",Data!E3:E602,"queued")+COUNTIFS(Data!B$3:B$602,"Cape May",Data!E3:E602,"pre-challenge")</f>
        <v>6</v>
      </c>
      <c r="E2" s="20" t="s">
        <v>1725</v>
      </c>
      <c r="F2" s="33">
        <f>B2-D2</f>
        <v>10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1">_xlfn._xlws.FILTER(Data!A$3:AU$602,Data!B$3:B$602="Cape May","")</f>
        <v>Avalon</v>
      </c>
      <c r="B6" t="str">
        <v>Cape May</v>
      </c>
      <c r="C6" t="str">
        <v>3400902320</v>
      </c>
      <c r="D6" t="str">
        <v>borough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https://en.wikipedia.org/wiki/Avalon,_New_Jersey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Cape May</v>
      </c>
      <c r="B7" t="str">
        <v>Cape May</v>
      </c>
      <c r="C7" t="str">
        <v>3400910270</v>
      </c>
      <c r="D7" t="str">
        <v>city</v>
      </c>
      <c r="E7" t="str">
        <v>pre-challenge</v>
      </c>
      <c r="F7">
        <v>0</v>
      </c>
      <c r="G7" t="str">
        <v>Kohr Brother's</v>
      </c>
      <c r="H7">
        <v>42919</v>
      </c>
      <c r="I7" t="str">
        <v>Kohr Brother's</v>
      </c>
      <c r="J7" t="str">
        <v>https://kohrbros.com</v>
      </c>
      <c r="K7" t="str">
        <v>https://en.wikipedia.org/wiki/Cape_May,_New_Jersey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Cape May Point</v>
      </c>
      <c r="B8" t="str">
        <v>Cape May</v>
      </c>
      <c r="C8" t="str">
        <v>3400910330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https://en.wikipedia.org/wiki/Cape_May_Point,_New_Jersey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Dennis</v>
      </c>
      <c r="B9" t="str">
        <v>Cape May</v>
      </c>
      <c r="C9" t="str">
        <v>3400917560</v>
      </c>
      <c r="D9" t="str">
        <v>township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https://en.wikipedia.org/wiki/Dennis_Township,_New_Jersey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Lower</v>
      </c>
      <c r="B10" t="str">
        <v>Cape May</v>
      </c>
      <c r="C10" t="str">
        <v>3400941610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https://en.wikipedia.org/wiki/Lower_Township,_New_Jersey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Middle</v>
      </c>
      <c r="B11" t="str">
        <v>Cape May</v>
      </c>
      <c r="C11" t="str">
        <v>3400945810</v>
      </c>
      <c r="D11" t="str">
        <v>township</v>
      </c>
      <c r="E11" t="str">
        <v>queued</v>
      </c>
      <c r="F11">
        <v>0</v>
      </c>
      <c r="G11" t="str">
        <v>Provence</v>
      </c>
      <c r="H11">
        <v>45619</v>
      </c>
      <c r="I11" t="str">
        <v>Provence</v>
      </c>
      <c r="J11" t="str">
        <v>https://provencecapemay.com/</v>
      </c>
      <c r="K11" t="str">
        <v>https://en.wikipedia.org/wiki/Middle_Township,_New_Jersey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North Wildwood</v>
      </c>
      <c r="B12" t="str">
        <v>Cape May</v>
      </c>
      <c r="C12" t="str">
        <v>3400953490</v>
      </c>
      <c r="D12" t="str">
        <v>city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https://en.wikipedia.org/wiki/North_Wildwood,_New_Jersey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Ocean City</v>
      </c>
      <c r="B13" t="str">
        <v>Cape May</v>
      </c>
      <c r="C13" t="str">
        <v>3400954360</v>
      </c>
      <c r="D13" t="str">
        <v>city</v>
      </c>
      <c r="E13" t="str">
        <v>pre-challenge</v>
      </c>
      <c r="F13">
        <v>0</v>
      </c>
      <c r="G13" t="str">
        <v>Chatterbox</v>
      </c>
      <c r="H13">
        <v>42946</v>
      </c>
      <c r="I13">
        <v>0</v>
      </c>
      <c r="J13">
        <v>0</v>
      </c>
      <c r="K13" t="str">
        <v>https://en.wikipedia.org/wiki/Ocean_City,_New_Jersey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Sea Isle City</v>
      </c>
      <c r="B14" t="str">
        <v>Cape May</v>
      </c>
      <c r="C14" t="str">
        <v>3400966390</v>
      </c>
      <c r="D14" t="str">
        <v>city</v>
      </c>
      <c r="E14" t="str">
        <v>queued</v>
      </c>
      <c r="F14">
        <v>0</v>
      </c>
      <c r="G14" t="str">
        <v>Sunset Pier Restaurant &amp; Juice Bar</v>
      </c>
      <c r="H14">
        <v>45564</v>
      </c>
      <c r="I14" t="str">
        <v>Sunset Pier</v>
      </c>
      <c r="J14" t="str">
        <v>https://sunsetpiersic.com/</v>
      </c>
      <c r="K14" t="str">
        <v>https://en.wikipedia.org/wiki/Sea_Isle_City,_New_Jersey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Stone Harbor</v>
      </c>
      <c r="B15" t="str">
        <v>Cape May</v>
      </c>
      <c r="C15" t="str">
        <v>3400971010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https://en.wikipedia.org/wiki/Stone_Harbor,_New_Jersey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Upper</v>
      </c>
      <c r="B16" t="str">
        <v>Cape May</v>
      </c>
      <c r="C16" t="str">
        <v>3400974810</v>
      </c>
      <c r="D16" t="str">
        <v>township</v>
      </c>
      <c r="E16" t="str">
        <v>pre-challenge</v>
      </c>
      <c r="F16">
        <v>0</v>
      </c>
      <c r="G16" t="str">
        <v>The Deauville Inn</v>
      </c>
      <c r="H16">
        <v>42946</v>
      </c>
      <c r="I16" t="str">
        <v>The Deauville Inn</v>
      </c>
      <c r="J16" t="str">
        <v>https://deauvilleinn.com/</v>
      </c>
      <c r="K16" t="str">
        <v>https://en.wikipedia.org/wiki/Upper_Township,_New_Jersey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West Cape May</v>
      </c>
      <c r="B17" t="str">
        <v>Cape May</v>
      </c>
      <c r="C17" t="str">
        <v>3400978530</v>
      </c>
      <c r="D17" t="str">
        <v>borough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https://en.wikipedia.org/wiki/West_Cape_May,_New_Jersey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West Wildwood</v>
      </c>
      <c r="B18" t="str">
        <v>Cape May</v>
      </c>
      <c r="C18" t="str">
        <v>3400980210</v>
      </c>
      <c r="D18" t="str">
        <v>borough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https://en.wikipedia.org/wiki/West_Wildwood,_New_Jersey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Wildwood</v>
      </c>
      <c r="B19" t="str">
        <v>Cape May</v>
      </c>
      <c r="C19" t="str">
        <v>3400981170</v>
      </c>
      <c r="D19" t="str">
        <v>city</v>
      </c>
      <c r="E19" t="str">
        <v>pre-challenge</v>
      </c>
      <c r="F19">
        <v>0</v>
      </c>
      <c r="G19" t="str">
        <v>Mack's Pizza</v>
      </c>
      <c r="H19">
        <v>42919</v>
      </c>
      <c r="I19" t="str">
        <v>Mack's Pizza</v>
      </c>
      <c r="J19" t="str">
        <v>https://www.mackspizza.com/</v>
      </c>
      <c r="K19" t="str">
        <v>https://en.wikipedia.org/wiki/Wildwood,_New_Jersey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Wildwood Crest</v>
      </c>
      <c r="B20" t="str">
        <v>Cape May</v>
      </c>
      <c r="C20" t="str">
        <v>3400981200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https://en.wikipedia.org/wiki/Wildwood_Crest,_New_Jersey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Woodbine</v>
      </c>
      <c r="B21" t="str">
        <v>Cape May</v>
      </c>
      <c r="C21" t="str">
        <v>3400981890</v>
      </c>
      <c r="D21" t="str">
        <v>borough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https://en.wikipedia.org/wiki/Woodbine,_New_Jersey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19"/>
  <sheetViews>
    <sheetView workbookViewId="0">
      <pane xSplit="3" ySplit="5" topLeftCell="D6" activePane="bottomRight" state="frozen"/>
      <selection pane="topRight"/>
      <selection pane="bottomLeft"/>
      <selection pane="bottomRight" sqref="A1:AU1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1733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COUNTIF(Data!B$3:B$602,"Cumberland")</f>
        <v>14</v>
      </c>
      <c r="C2" s="19" t="s">
        <v>1724</v>
      </c>
      <c r="D2" s="32">
        <f>COUNTIFS(Data!B$3:B$602,"Cumberland",Data!E3:E602,"visited")+COUNTIFS(Data!B$3:B$602,"Cumberland",Data!E3:E602,"queued")+COUNTIFS(Data!B$3:B$602,"Cumberland",Data!E3:E602,"pre-challenge")</f>
        <v>14</v>
      </c>
      <c r="E2" s="20" t="s">
        <v>1725</v>
      </c>
      <c r="F2" s="33">
        <f>B2-D2</f>
        <v>0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19">_xlfn._xlws.FILTER(Data!A$3:AU$602,Data!B$3:B$602="Cumberland","")</f>
        <v>Bridgeton</v>
      </c>
      <c r="B6" t="str">
        <v>Cumberland</v>
      </c>
      <c r="C6" t="str">
        <v>3401107600</v>
      </c>
      <c r="D6" t="str">
        <v>city</v>
      </c>
      <c r="E6" t="str">
        <v>queued</v>
      </c>
      <c r="F6">
        <v>201</v>
      </c>
      <c r="G6" t="str">
        <v>Bridgeton Family Diner &amp; Restaurant</v>
      </c>
      <c r="H6">
        <v>111208</v>
      </c>
      <c r="I6" t="str">
        <v>Google Maps</v>
      </c>
      <c r="J6" t="str">
        <v>https://maps.app.goo.gl/YKSxWGRvsQLd4Mi67</v>
      </c>
      <c r="K6" t="str">
        <v>https://en.wikipedia.org/wiki/Bridgeton,_New_Jersey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Commercial</v>
      </c>
      <c r="B7" t="str">
        <v>Cumberland</v>
      </c>
      <c r="C7" t="str">
        <v>3401114710</v>
      </c>
      <c r="D7" t="str">
        <v>township</v>
      </c>
      <c r="E7" t="str">
        <v>queued</v>
      </c>
      <c r="F7">
        <v>171</v>
      </c>
      <c r="G7" t="str">
        <v>Dino's Pizzaria</v>
      </c>
      <c r="H7">
        <v>45318</v>
      </c>
      <c r="I7">
        <v>0</v>
      </c>
      <c r="J7">
        <v>0</v>
      </c>
      <c r="K7" t="str">
        <v>https://en.wikipedia.org/wiki/Commercial_Township,_New_Jersey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Deerfield</v>
      </c>
      <c r="B8" t="str">
        <v>Cumberland</v>
      </c>
      <c r="C8" t="str">
        <v>3401116900</v>
      </c>
      <c r="D8" t="str">
        <v>township</v>
      </c>
      <c r="E8" t="str">
        <v>queued</v>
      </c>
      <c r="F8">
        <v>205</v>
      </c>
      <c r="G8" t="str">
        <v>Cedar Rose Vineyards</v>
      </c>
      <c r="H8">
        <v>45466</v>
      </c>
      <c r="I8" t="str">
        <v>Cedar Rose Vineyards</v>
      </c>
      <c r="J8" t="str">
        <v>https://www.cedarrosevineyards.com/</v>
      </c>
      <c r="K8" t="str">
        <v>https://en.wikipedia.org/wiki/Deerfield_Township,_New_Jersey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Downe</v>
      </c>
      <c r="B9" t="str">
        <v>Cumberland</v>
      </c>
      <c r="C9" t="str">
        <v>3401118220</v>
      </c>
      <c r="D9" t="str">
        <v>township</v>
      </c>
      <c r="E9" t="str">
        <v>queued</v>
      </c>
      <c r="F9">
        <v>203</v>
      </c>
      <c r="G9" t="str">
        <v>The Charlesworth Restaurant</v>
      </c>
      <c r="H9">
        <v>45465</v>
      </c>
      <c r="I9" t="str">
        <v>The Charlesworth Hotel &amp; Restaurant</v>
      </c>
      <c r="J9" t="str">
        <v>https://www.charlesworthrestaurant.com/</v>
      </c>
      <c r="K9" t="str">
        <v>https://en.wikipedia.org/wiki/Downe_Township,_New_Jersey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Fairfield</v>
      </c>
      <c r="B10" t="str">
        <v>Cumberland</v>
      </c>
      <c r="C10" t="str">
        <v>3401122350</v>
      </c>
      <c r="D10" t="str">
        <v>township</v>
      </c>
      <c r="E10" t="str">
        <v>queued</v>
      </c>
      <c r="F10">
        <v>202</v>
      </c>
      <c r="G10" t="str">
        <v>Antojitos Guerrero Mx</v>
      </c>
      <c r="H10">
        <v>111208</v>
      </c>
      <c r="I10" t="str">
        <v>Antojitos Guerrero Mx</v>
      </c>
      <c r="J10" t="str">
        <v>https://www.antojitosguerreromxnj.com/</v>
      </c>
      <c r="K10" t="str">
        <v>https://en.wikipedia.org/wiki/Fairfield_Township,_Cumberland_County,_New_Jersey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Greenwich</v>
      </c>
      <c r="B11" t="str">
        <v>Cumberland</v>
      </c>
      <c r="C11" t="str">
        <v>3401128170</v>
      </c>
      <c r="D11" t="str">
        <v>township</v>
      </c>
      <c r="E11" t="str">
        <v>queued</v>
      </c>
      <c r="F11">
        <v>185</v>
      </c>
      <c r="G11" t="str">
        <v>The Bait Box</v>
      </c>
      <c r="H11">
        <v>45388</v>
      </c>
      <c r="I11" t="str">
        <v>Bait Box Restaurant</v>
      </c>
      <c r="J11" t="str">
        <v>http://www.hancockharbor.com/</v>
      </c>
      <c r="K11" t="str">
        <v>https://en.wikipedia.org/wiki/Greenwich_Township,_Cumberland_County,_New_Jersey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Hopewell</v>
      </c>
      <c r="B12" t="str">
        <v>Cumberland</v>
      </c>
      <c r="C12" t="str">
        <v>3401133120</v>
      </c>
      <c r="D12" t="str">
        <v>township</v>
      </c>
      <c r="E12" t="str">
        <v>queued</v>
      </c>
      <c r="F12">
        <v>198</v>
      </c>
      <c r="G12" t="str">
        <v>The Greater Bridgeton Amish Market</v>
      </c>
      <c r="H12">
        <v>45444</v>
      </c>
      <c r="I12" t="str">
        <v>The Greater Bridgeton Amish Farm Market</v>
      </c>
      <c r="J12" t="str">
        <v>https://bridgetonamishmarket.com/</v>
      </c>
      <c r="K12" t="str">
        <v>https://en.wikipedia.org/wiki/Hopewell_Township,_Cumberland_County,_New_Jersey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Lawrence</v>
      </c>
      <c r="B13" t="str">
        <v>Cumberland</v>
      </c>
      <c r="C13" t="str">
        <v>3401139450</v>
      </c>
      <c r="D13" t="str">
        <v>township</v>
      </c>
      <c r="E13" t="str">
        <v>queued</v>
      </c>
      <c r="F13">
        <v>199</v>
      </c>
      <c r="G13" t="str">
        <v>Bull on the Barn Bayshore Crab House</v>
      </c>
      <c r="H13">
        <v>45444</v>
      </c>
      <c r="I13" t="str">
        <v>Bayshore Crab House</v>
      </c>
      <c r="J13" t="str">
        <v>https://www.bayshorecrabhouse.com/</v>
      </c>
      <c r="K13" t="str">
        <v>https://en.wikipedia.org/wiki/Lawrence_Township,_Cumberland_County,_New_Jersey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Maurice River</v>
      </c>
      <c r="B14" t="str">
        <v>Cumberland</v>
      </c>
      <c r="C14" t="str">
        <v>3401144580</v>
      </c>
      <c r="D14" t="str">
        <v>township</v>
      </c>
      <c r="E14" t="str">
        <v>queued</v>
      </c>
      <c r="F14">
        <v>170</v>
      </c>
      <c r="G14" t="str">
        <v>Maurice River Diner</v>
      </c>
      <c r="H14">
        <v>45318</v>
      </c>
      <c r="I14" t="str">
        <v>Maurice River Diner</v>
      </c>
      <c r="J14" t="str">
        <v>https://www.mauriceriverdiner.com/</v>
      </c>
      <c r="K14" t="str">
        <v>https://en.wikipedia.org/wiki/Maurice_River_Township,_New_Jersey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Millville</v>
      </c>
      <c r="B15" t="str">
        <v>Cumberland</v>
      </c>
      <c r="C15" t="str">
        <v>3401146680</v>
      </c>
      <c r="D15" t="str">
        <v>city</v>
      </c>
      <c r="E15" t="str">
        <v>queued</v>
      </c>
      <c r="F15">
        <v>172</v>
      </c>
      <c r="G15" t="str">
        <v>Old Oar House Irish Pub</v>
      </c>
      <c r="H15">
        <v>45318</v>
      </c>
      <c r="I15" t="str">
        <v>Old Oar House Irish Pub</v>
      </c>
      <c r="J15" t="str">
        <v>https://oldoarhouse.com/</v>
      </c>
      <c r="K15" t="str">
        <v>https://en.wikipedia.org/wiki/Millville,_New_Jersey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Shiloh</v>
      </c>
      <c r="B16" t="str">
        <v>Cumberland</v>
      </c>
      <c r="C16" t="str">
        <v>3401167020</v>
      </c>
      <c r="D16" t="str">
        <v>borough</v>
      </c>
      <c r="E16" t="str">
        <v>queued</v>
      </c>
      <c r="F16">
        <v>196</v>
      </c>
      <c r="G16" t="str">
        <v>Shiloh Market</v>
      </c>
      <c r="H16">
        <v>45444</v>
      </c>
      <c r="I16">
        <v>0</v>
      </c>
      <c r="J16">
        <v>0</v>
      </c>
      <c r="K16" t="str">
        <v>https://en.wikipedia.org/wiki/Shiloh,_New_Jersey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Stow Creek</v>
      </c>
      <c r="B17" t="str">
        <v>Cumberland</v>
      </c>
      <c r="C17" t="str">
        <v>3401171160</v>
      </c>
      <c r="D17" t="str">
        <v>township</v>
      </c>
      <c r="E17" t="str">
        <v>queued</v>
      </c>
      <c r="F17">
        <v>197</v>
      </c>
      <c r="G17" t="str">
        <v>Stow Creek Landing (Picnic)</v>
      </c>
      <c r="H17">
        <v>45444</v>
      </c>
      <c r="I17">
        <v>0</v>
      </c>
      <c r="J17">
        <v>0</v>
      </c>
      <c r="K17" t="str">
        <v>https://en.wikipedia.org/wiki/Stow_Creek_Township,_New_Jersey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Upper Deerfield</v>
      </c>
      <c r="B18" t="str">
        <v>Cumberland</v>
      </c>
      <c r="C18" t="str">
        <v>3401174870</v>
      </c>
      <c r="D18" t="str">
        <v>township</v>
      </c>
      <c r="E18" t="str">
        <v>queued</v>
      </c>
      <c r="F18">
        <v>204</v>
      </c>
      <c r="G18" t="str">
        <v>Golden Pigeon Diner</v>
      </c>
      <c r="H18">
        <v>45466</v>
      </c>
      <c r="I18" t="str">
        <v>Golden Pigeon Diner</v>
      </c>
      <c r="J18" t="str">
        <v>https://www.goldenpigeondiner.com/</v>
      </c>
      <c r="K18" t="str">
        <v>https://en.wikipedia.org/wiki/Upper_Deerfield_Township,_New_Jersey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Vineland</v>
      </c>
      <c r="B19" t="str">
        <v>Cumberland</v>
      </c>
      <c r="C19" t="str">
        <v>3401176070</v>
      </c>
      <c r="D19" t="str">
        <v>city</v>
      </c>
      <c r="E19" t="str">
        <v>queued</v>
      </c>
      <c r="F19">
        <v>206</v>
      </c>
      <c r="G19" t="str">
        <v>El Cilantro Mexican Restaurant</v>
      </c>
      <c r="H19">
        <v>45466</v>
      </c>
      <c r="I19" t="str">
        <v>Cilantro Mexican Restaurant</v>
      </c>
      <c r="J19" t="str">
        <v>https://www.cilantromexicanrestaurantnj.com/</v>
      </c>
      <c r="K19" t="str">
        <v>https://en.wikipedia.org/wiki/Vineland,_New_Jersey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27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1734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COUNTIF(Data!B$3:B$602,"Essex")</f>
        <v>22</v>
      </c>
      <c r="C2" s="19" t="s">
        <v>1724</v>
      </c>
      <c r="D2" s="32">
        <f>COUNTIFS(Data!B$3:B$602,"Essex",Data!E3:E602,"visited")+COUNTIFS(Data!B$3:B$602,"Essex",Data!E3:E602,"queued")+COUNTIFS(Data!B$3:B$602,"Essex",Data!E3:E602,"pre-challenge")</f>
        <v>9</v>
      </c>
      <c r="E2" s="20" t="s">
        <v>1725</v>
      </c>
      <c r="F2" s="33">
        <f>B2-D2</f>
        <v>13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7">_xlfn._xlws.FILTER(Data!A$3:AU$602,Data!B$3:B$602="Essex","")</f>
        <v>Belleville</v>
      </c>
      <c r="B6" t="str">
        <v>Essex</v>
      </c>
      <c r="C6" t="str">
        <v>3401304695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https://en.wikipedia.org/wiki/Belleville_Township,_New_Jersey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Bloomfield</v>
      </c>
      <c r="B7" t="str">
        <v>Essex</v>
      </c>
      <c r="C7" t="str">
        <v>3401306260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https://en.wikipedia.org/wiki/Bloomfield_Township,_New_Jersey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Caldwell</v>
      </c>
      <c r="B8" t="str">
        <v>Essex</v>
      </c>
      <c r="C8" t="str">
        <v>3401309250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https://en.wikipedia.org/wiki/Caldwell,_New_Jersey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Cedar Grove</v>
      </c>
      <c r="B9" t="str">
        <v>Essex</v>
      </c>
      <c r="C9" t="str">
        <v>3401311200</v>
      </c>
      <c r="D9" t="str">
        <v>township</v>
      </c>
      <c r="E9" t="str">
        <v>queued</v>
      </c>
      <c r="F9">
        <v>279</v>
      </c>
      <c r="G9" t="str">
        <v>Gigi's Cafe</v>
      </c>
      <c r="H9">
        <v>45928</v>
      </c>
      <c r="I9" t="str">
        <v>Gigi's Cafe</v>
      </c>
      <c r="J9" t="str">
        <v>https://gigiscafe.net/</v>
      </c>
      <c r="K9" t="str">
        <v>https://en.wikipedia.org/wiki/Cedar_Grove_Township,_New_Jersey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City of Orange</v>
      </c>
      <c r="B10" t="str">
        <v>Essex</v>
      </c>
      <c r="C10" t="str">
        <v>3401313045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https://en.wikipedia.org/wiki/City_of_Orange_Township,_New_Jersey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East Orange</v>
      </c>
      <c r="B11" t="str">
        <v>Essex</v>
      </c>
      <c r="C11" t="str">
        <v>3401319390</v>
      </c>
      <c r="D11" t="str">
        <v>city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https://en.wikipedia.org/wiki/East_Orange,_New_Jersey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Essex Fells</v>
      </c>
      <c r="B12" t="str">
        <v>Essex</v>
      </c>
      <c r="C12" t="str">
        <v>3401321840</v>
      </c>
      <c r="D12" t="str">
        <v>borough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https://en.wikipedia.org/wiki/Essex_Fells,_New_Jersey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Fairfield</v>
      </c>
      <c r="B13" t="str">
        <v>Essex</v>
      </c>
      <c r="C13" t="str">
        <v>3401322385</v>
      </c>
      <c r="D13" t="str">
        <v>township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https://en.wikipedia.org/wiki/Fairfield_Township,_Essex_County,_New_Jersey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Glen Ridge</v>
      </c>
      <c r="B14" t="str">
        <v>Essex</v>
      </c>
      <c r="C14" t="str">
        <v>3401326610</v>
      </c>
      <c r="D14" t="str">
        <v>borough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https://en.wikipedia.org/wiki/Glen_Ridge,_New_Jersey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Irvington</v>
      </c>
      <c r="B15" t="str">
        <v>Essex</v>
      </c>
      <c r="C15" t="str">
        <v>3401334450</v>
      </c>
      <c r="D15" t="str">
        <v>township</v>
      </c>
      <c r="E15" t="str">
        <v>visited</v>
      </c>
      <c r="F15">
        <v>109</v>
      </c>
      <c r="G15" t="str">
        <v>Antojitos Restaurant</v>
      </c>
      <c r="H15">
        <v>45166</v>
      </c>
      <c r="I15" t="str">
        <v>Antojitos Restaurant Bar</v>
      </c>
      <c r="J15" t="str">
        <v>https://www.antojitosrestaurantnj.com/</v>
      </c>
      <c r="K15" t="str">
        <v>https://en.wikipedia.org/wiki/Irvington_Township,_New_Jersey</v>
      </c>
      <c r="L15" t="str">
        <v>NJ Town #109: Irvington</v>
      </c>
      <c r="M15" t="str">
        <v>https://www.instagram.com/p/DHEjubkRS09/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t="str">
        <v>Town #109</v>
      </c>
      <c r="AM15" t="str">
        <v>https://www.instagram.com/p/DHEjubkRS09/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Livingston</v>
      </c>
      <c r="B16" t="str">
        <v>Essex</v>
      </c>
      <c r="C16" t="str">
        <v>3401340890</v>
      </c>
      <c r="D16" t="str">
        <v>township</v>
      </c>
      <c r="E16" t="str">
        <v>queued</v>
      </c>
      <c r="F16">
        <v>228</v>
      </c>
      <c r="G16" t="str">
        <v>Sweet Basil's Cafe &amp; Grille</v>
      </c>
      <c r="H16">
        <v>45536</v>
      </c>
      <c r="I16" t="str">
        <v>Sweet Basil's Cafe</v>
      </c>
      <c r="J16" t="str">
        <v>https://www.sweetbasilscafe.com/</v>
      </c>
      <c r="K16" t="str">
        <v>https://en.wikipedia.org/wiki/Livingston_Township,_New_Jersey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Maplewood</v>
      </c>
      <c r="B17" t="str">
        <v>Essex</v>
      </c>
      <c r="C17" t="str">
        <v>3401343800</v>
      </c>
      <c r="D17" t="str">
        <v>township</v>
      </c>
      <c r="E17" t="str">
        <v>queued</v>
      </c>
      <c r="F17">
        <v>175</v>
      </c>
      <c r="G17" t="str">
        <v>Mt Fuji Restaurant</v>
      </c>
      <c r="H17">
        <v>45331</v>
      </c>
      <c r="I17" t="str">
        <v>Mt Fuji Restaurant</v>
      </c>
      <c r="J17" t="str">
        <v>https://www.mtfujimaplewood.com/</v>
      </c>
      <c r="K17" t="str">
        <v>https://en.wikipedia.org/wiki/Maplewood_Township,_New_Jersey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Millburn</v>
      </c>
      <c r="B18" t="str">
        <v>Essex</v>
      </c>
      <c r="C18" t="str">
        <v>3401346380</v>
      </c>
      <c r="D18" t="str">
        <v>township</v>
      </c>
      <c r="E18" t="str">
        <v>pre-challenge</v>
      </c>
      <c r="F18">
        <v>0</v>
      </c>
      <c r="G18" t="str">
        <v>Primo Mercato</v>
      </c>
      <c r="H18">
        <v>44734</v>
      </c>
      <c r="I18">
        <v>0</v>
      </c>
      <c r="J18">
        <v>0</v>
      </c>
      <c r="K18" t="str">
        <v>https://en.wikipedia.org/wiki/Millburn_Township,_New_Jersey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Montclair</v>
      </c>
      <c r="B19" t="str">
        <v>Essex</v>
      </c>
      <c r="C19" t="str">
        <v>3401347500</v>
      </c>
      <c r="D19" t="str">
        <v>township</v>
      </c>
      <c r="E19" t="str">
        <v>pre-challenge</v>
      </c>
      <c r="F19">
        <v>0</v>
      </c>
      <c r="G19" t="str">
        <v>Cuban Pete's</v>
      </c>
      <c r="H19">
        <v>42547</v>
      </c>
      <c r="I19" t="str">
        <v>Cuban Pete's</v>
      </c>
      <c r="J19" t="str">
        <v>https://cubanpetesrestaurant.com/</v>
      </c>
      <c r="K19" t="str">
        <v>https://en.wikipedia.org/wiki/Montclair_Township,_New_Jersey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Newark</v>
      </c>
      <c r="B20" t="str">
        <v>Essex</v>
      </c>
      <c r="C20" t="str">
        <v>3401351000</v>
      </c>
      <c r="D20" t="str">
        <v>city</v>
      </c>
      <c r="E20" t="str">
        <v>pre-challenge</v>
      </c>
      <c r="F20">
        <v>0</v>
      </c>
      <c r="G20" t="str">
        <v>Casa d'Paco</v>
      </c>
      <c r="H20">
        <v>44772</v>
      </c>
      <c r="I20" t="str">
        <v>Casa d'Paco</v>
      </c>
      <c r="J20" t="str">
        <v>https://casadepaconj.com/</v>
      </c>
      <c r="K20" t="str">
        <v>https://en.wikipedia.org/wiki/Newark,_New_Jersey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North Caldwell</v>
      </c>
      <c r="B21" t="str">
        <v>Essex</v>
      </c>
      <c r="C21" t="str">
        <v>3401352620</v>
      </c>
      <c r="D21" t="str">
        <v>borough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https://en.wikipedia.org/wiki/North_Caldwell,_New_Jersey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Nutley</v>
      </c>
      <c r="B22" t="str">
        <v>Essex</v>
      </c>
      <c r="C22" t="str">
        <v>3401353680</v>
      </c>
      <c r="D22" t="str">
        <v>township</v>
      </c>
      <c r="E22" t="str">
        <v>queued</v>
      </c>
      <c r="F22">
        <v>222</v>
      </c>
      <c r="G22" t="str">
        <v>Sonoma Bistro Bar &amp; Grill</v>
      </c>
      <c r="H22">
        <v>45522</v>
      </c>
      <c r="I22" t="str">
        <v>Sonoma Bistro Bar and Grill</v>
      </c>
      <c r="J22" t="str">
        <v>https://sonomabistrobarnutley.com/</v>
      </c>
      <c r="K22" t="str">
        <v>https://en.wikipedia.org/wiki/Nutley_Township,_New_Jersey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Roseland</v>
      </c>
      <c r="B23" t="str">
        <v>Essex</v>
      </c>
      <c r="C23" t="str">
        <v>3401364590</v>
      </c>
      <c r="D23" t="str">
        <v>borough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https://en.wikipedia.org/wiki/Roseland,_New_Jersey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South Orange Village</v>
      </c>
      <c r="B24" t="str">
        <v>Essex</v>
      </c>
      <c r="C24" t="str">
        <v>3401369274</v>
      </c>
      <c r="D24" t="str">
        <v>township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https://en.wikipedia.org/wiki/South_Orange_Village_Township,_New_Jersey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Verona</v>
      </c>
      <c r="B25" t="str">
        <v>Essex</v>
      </c>
      <c r="C25" t="str">
        <v>3401375815</v>
      </c>
      <c r="D25" t="str">
        <v>township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https://en.wikipedia.org/wiki/Verona_Township,_New_Jersey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West Caldwell</v>
      </c>
      <c r="B26" t="str">
        <v>Essex</v>
      </c>
      <c r="C26" t="str">
        <v>3401378510</v>
      </c>
      <c r="D26" t="str">
        <v>township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https://en.wikipedia.org/wiki/West_Caldwell_Township,_New_Jersey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West Orange</v>
      </c>
      <c r="B27" t="str">
        <v>Essex</v>
      </c>
      <c r="C27" t="str">
        <v>3401379800</v>
      </c>
      <c r="D27" t="str">
        <v>township</v>
      </c>
      <c r="E27" t="str">
        <v>queued</v>
      </c>
      <c r="F27">
        <v>229</v>
      </c>
      <c r="G27" t="str">
        <v>McLoone's Boathouse</v>
      </c>
      <c r="H27">
        <v>45536</v>
      </c>
      <c r="I27" t="str">
        <v>McLoone's Boathouse</v>
      </c>
      <c r="J27" t="str">
        <v>https://www.mcloonesboathouse.com/</v>
      </c>
      <c r="K27" t="str">
        <v>https://en.wikipedia.org/wiki/West_Orange_Township,_New_Jersey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29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1735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COUNTIF(Data!B$3:B$602,"Gloucester")</f>
        <v>24</v>
      </c>
      <c r="C2" s="19" t="s">
        <v>1724</v>
      </c>
      <c r="D2" s="32">
        <f>COUNTIFS(Data!B$3:B$602,"Gloucester",Data!E3:E602,"visited")+COUNTIFS(Data!B$3:B$602,"Gloucester",Data!E3:E602,"queued")+COUNTIFS(Data!B$3:B$602,"Gloucester",Data!E3:E602,"pre-challenge")</f>
        <v>10</v>
      </c>
      <c r="E2" s="20" t="s">
        <v>1725</v>
      </c>
      <c r="F2" s="33">
        <f>B2-D2</f>
        <v>14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9">_xlfn._xlws.FILTER(Data!A$3:AU$602,Data!B$3:B$602="Gloucester","")</f>
        <v>Clayton</v>
      </c>
      <c r="B6" t="str">
        <v>Gloucester</v>
      </c>
      <c r="C6" t="str">
        <v>3401513360</v>
      </c>
      <c r="D6" t="str">
        <v>borough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https://en.wikipedia.org/wiki/Clayton,_New_Jersey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Deptford</v>
      </c>
      <c r="B7" t="str">
        <v>Gloucester</v>
      </c>
      <c r="C7" t="str">
        <v>3401517710</v>
      </c>
      <c r="D7" t="str">
        <v>township</v>
      </c>
      <c r="E7" t="str">
        <v>queued</v>
      </c>
      <c r="F7">
        <v>158</v>
      </c>
      <c r="G7" t="str">
        <v>Umi Hotpot Sushi &amp; Seafood Buffet</v>
      </c>
      <c r="H7">
        <v>45283</v>
      </c>
      <c r="I7" t="str">
        <v>UMI Hotpot Sushi &amp; Seafood Buffet</v>
      </c>
      <c r="J7" t="str">
        <v>https://www.umibuffet.com/</v>
      </c>
      <c r="K7" t="str">
        <v>https://en.wikipedia.org/wiki/Deptford_Township,_New_Jersey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East Greenwich</v>
      </c>
      <c r="B8" t="str">
        <v>Gloucester</v>
      </c>
      <c r="C8" t="str">
        <v>3401519180</v>
      </c>
      <c r="D8" t="str">
        <v>township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https://en.wikipedia.org/wiki/East_Greenwich_Township,_New_Jersey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Elk</v>
      </c>
      <c r="B9" t="str">
        <v>Gloucester</v>
      </c>
      <c r="C9" t="str">
        <v>3401521060</v>
      </c>
      <c r="D9" t="str">
        <v>township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https://en.wikipedia.org/wiki/Elk_Township,_New_Jersey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Franklin</v>
      </c>
      <c r="B10" t="str">
        <v>Gloucester</v>
      </c>
      <c r="C10" t="str">
        <v>3401524840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https://en.wikipedia.org/wiki/Franklin_Township,_Gloucester_County,_New_Jersey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Glassboro</v>
      </c>
      <c r="B11" t="str">
        <v>Gloucester</v>
      </c>
      <c r="C11" t="str">
        <v>3401526340</v>
      </c>
      <c r="D11" t="str">
        <v>borough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https://en.wikipedia.org/wiki/Glassboro,_New_Jersey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Greenwich</v>
      </c>
      <c r="B12" t="str">
        <v>Gloucester</v>
      </c>
      <c r="C12" t="str">
        <v>3401528185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https://en.wikipedia.org/wiki/Greenwich_Township,_Gloucester_County,_New_Jersey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Harrison</v>
      </c>
      <c r="B13" t="str">
        <v>Gloucester</v>
      </c>
      <c r="C13" t="str">
        <v>3401530180</v>
      </c>
      <c r="D13" t="str">
        <v>township</v>
      </c>
      <c r="E13" t="str">
        <v>queued</v>
      </c>
      <c r="F13">
        <v>156</v>
      </c>
      <c r="G13" t="str">
        <v>blueplate</v>
      </c>
      <c r="H13">
        <v>45283</v>
      </c>
      <c r="I13" t="str">
        <v>blueplate</v>
      </c>
      <c r="J13" t="str">
        <v>http://www.blueplatenj.com/</v>
      </c>
      <c r="K13" t="str">
        <v>https://en.wikipedia.org/wiki/Harrison_Township,_Gloucester_County,_New_Jersey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Logan</v>
      </c>
      <c r="B14" t="str">
        <v>Gloucester</v>
      </c>
      <c r="C14" t="str">
        <v>3401541160</v>
      </c>
      <c r="D14" t="str">
        <v>township</v>
      </c>
      <c r="E14" t="str">
        <v>queued</v>
      </c>
      <c r="F14">
        <v>188</v>
      </c>
      <c r="G14" t="str">
        <v>BBQ Clubhouse @ Dalton Farms</v>
      </c>
      <c r="H14">
        <v>45396</v>
      </c>
      <c r="I14">
        <v>0</v>
      </c>
      <c r="J14">
        <v>0</v>
      </c>
      <c r="K14" t="str">
        <v>https://en.wikipedia.org/wiki/Logan_Township,_New_Jersey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Mantua</v>
      </c>
      <c r="B15" t="str">
        <v>Gloucester</v>
      </c>
      <c r="C15" t="str">
        <v>3401543440</v>
      </c>
      <c r="D15" t="str">
        <v>township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https://en.wikipedia.org/wiki/Mantua_Township,_New_Jersey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Monroe</v>
      </c>
      <c r="B16" t="str">
        <v>Gloucester</v>
      </c>
      <c r="C16" t="str">
        <v>3401547250</v>
      </c>
      <c r="D16" t="str">
        <v>township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https://en.wikipedia.org/wiki/Monroe_Township,_Gloucester_County,_New_Jersey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National Park</v>
      </c>
      <c r="B17" t="str">
        <v>Gloucester</v>
      </c>
      <c r="C17" t="str">
        <v>3401549680</v>
      </c>
      <c r="D17" t="str">
        <v>borough</v>
      </c>
      <c r="E17" t="str">
        <v>queued</v>
      </c>
      <c r="F17">
        <v>212</v>
      </c>
      <c r="G17" t="str">
        <v>Coconut Grove Dockside Bar</v>
      </c>
      <c r="H17">
        <v>45480</v>
      </c>
      <c r="I17">
        <v>0</v>
      </c>
      <c r="J17">
        <v>0</v>
      </c>
      <c r="K17" t="str">
        <v>https://en.wikipedia.org/wiki/National_Park,_New_Jersey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Newfield</v>
      </c>
      <c r="B18" t="str">
        <v>Gloucester</v>
      </c>
      <c r="C18" t="str">
        <v>3401551390</v>
      </c>
      <c r="D18" t="str">
        <v>borough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https://en.wikipedia.org/wiki/Newfield,_New_Jersey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Paulsboro</v>
      </c>
      <c r="B19" t="str">
        <v>Gloucester</v>
      </c>
      <c r="C19" t="str">
        <v>3401557150</v>
      </c>
      <c r="D19" t="str">
        <v>borough</v>
      </c>
      <c r="E19" t="str">
        <v>queued</v>
      </c>
      <c r="F19">
        <v>189</v>
      </c>
      <c r="G19" t="str">
        <v>Osteria 545</v>
      </c>
      <c r="H19">
        <v>45396</v>
      </c>
      <c r="I19" t="str">
        <v>Osteria 545</v>
      </c>
      <c r="J19" t="str">
        <v>https://www.osteria545.com/</v>
      </c>
      <c r="K19" t="str">
        <v>https://en.wikipedia.org/wiki/Paulsboro,_New_Jersey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Pitman</v>
      </c>
      <c r="B20" t="str">
        <v>Gloucester</v>
      </c>
      <c r="C20" t="str">
        <v>3401559070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https://en.wikipedia.org/wiki/Pitman,_New_Jersey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South Harrison</v>
      </c>
      <c r="B21" t="str">
        <v>Gloucester</v>
      </c>
      <c r="C21" t="str">
        <v>3401569030</v>
      </c>
      <c r="D21" t="str">
        <v>township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https://en.wikipedia.org/wiki/South_Harrison_Township,_New_Jersey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Swedesboro</v>
      </c>
      <c r="B22" t="str">
        <v>Gloucester</v>
      </c>
      <c r="C22" t="str">
        <v>3401571850</v>
      </c>
      <c r="D22" t="str">
        <v>borough</v>
      </c>
      <c r="E22" t="str">
        <v>queued</v>
      </c>
      <c r="F22">
        <v>136</v>
      </c>
      <c r="G22" t="str">
        <v>Hens &amp; Honey</v>
      </c>
      <c r="H22">
        <v>45235</v>
      </c>
      <c r="I22" t="str">
        <v>Hens &amp; Honey Shoppe</v>
      </c>
      <c r="J22" t="str">
        <v>https://hensandhoneyshoppe.com/</v>
      </c>
      <c r="K22" t="str">
        <v>https://en.wikipedia.org/wiki/Swedesboro,_New_Jersey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Washington</v>
      </c>
      <c r="B23" t="str">
        <v>Gloucester</v>
      </c>
      <c r="C23" t="str">
        <v>3401577180</v>
      </c>
      <c r="D23" t="str">
        <v>township</v>
      </c>
      <c r="E23" t="str">
        <v>queued</v>
      </c>
      <c r="F23">
        <v>135</v>
      </c>
      <c r="G23" t="str">
        <v>First Watch</v>
      </c>
      <c r="H23">
        <v>45235</v>
      </c>
      <c r="I23" t="str">
        <v>First Watch</v>
      </c>
      <c r="J23" t="str">
        <v>https://firstwatch.com/</v>
      </c>
      <c r="K23" t="str">
        <v>https://en.wikipedia.org/wiki/Washington_Township,_Gloucester_County,_New_Jersey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Wenonah</v>
      </c>
      <c r="B24" t="str">
        <v>Gloucester</v>
      </c>
      <c r="C24" t="str">
        <v>3401578110</v>
      </c>
      <c r="D24" t="str">
        <v>borough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https://en.wikipedia.org/wiki/Wenonah,_New_Jersey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West Deptford</v>
      </c>
      <c r="B25" t="str">
        <v>Gloucester</v>
      </c>
      <c r="C25" t="str">
        <v>3401578800</v>
      </c>
      <c r="D25" t="str">
        <v>township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https://en.wikipedia.org/wiki/West_Deptford_Township,_New_Jersey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Westville</v>
      </c>
      <c r="B26" t="str">
        <v>Gloucester</v>
      </c>
      <c r="C26" t="str">
        <v>3401580120</v>
      </c>
      <c r="D26" t="str">
        <v>borough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https://en.wikipedia.org/wiki/Westville,_New_Jersey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Woodbury</v>
      </c>
      <c r="B27" t="str">
        <v>Gloucester</v>
      </c>
      <c r="C27" t="str">
        <v>3401582120</v>
      </c>
      <c r="D27" t="str">
        <v>city</v>
      </c>
      <c r="E27" t="str">
        <v>queued</v>
      </c>
      <c r="F27">
        <v>187</v>
      </c>
      <c r="G27" t="str">
        <v>The Colonial Diner</v>
      </c>
      <c r="H27">
        <v>45396</v>
      </c>
      <c r="I27" t="str">
        <v>Colonial Diner</v>
      </c>
      <c r="J27" t="str">
        <v>https://www.colonialdiner.com/</v>
      </c>
      <c r="K27" t="str">
        <v>https://en.wikipedia.org/wiki/Woodbury,_New_Jersey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Woodbury Heights</v>
      </c>
      <c r="B28" t="str">
        <v>Gloucester</v>
      </c>
      <c r="C28" t="str">
        <v>3401582180</v>
      </c>
      <c r="D28" t="str">
        <v>borough</v>
      </c>
      <c r="E28" t="str">
        <v>queued</v>
      </c>
      <c r="F28">
        <v>280</v>
      </c>
      <c r="G28" t="str">
        <v>The Hollywood Diner and Bar</v>
      </c>
      <c r="H28">
        <v>45937</v>
      </c>
      <c r="I28" t="str">
        <v>Hollywood Diner</v>
      </c>
      <c r="J28" t="str">
        <v>https://www.thehollywooddiner.com/</v>
      </c>
      <c r="K28" t="str">
        <v>https://en.wikipedia.org/wiki/Woodbury_Heights,_New_Jersey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Woolwich</v>
      </c>
      <c r="B29" t="str">
        <v>Gloucester</v>
      </c>
      <c r="C29" t="str">
        <v>3401582840</v>
      </c>
      <c r="D29" t="str">
        <v>township</v>
      </c>
      <c r="E29" t="str">
        <v>queued</v>
      </c>
      <c r="F29">
        <v>157</v>
      </c>
      <c r="G29" t="str">
        <v>Dunkin' Donuts</v>
      </c>
      <c r="H29">
        <v>45283</v>
      </c>
      <c r="I29" t="str">
        <v>Dunkin'</v>
      </c>
      <c r="J29" t="str">
        <v>https://www.dunkindonuts.com/</v>
      </c>
      <c r="K29" t="str">
        <v>https://en.wikipedia.org/wiki/Woolwich_Township,_New_Jersey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U17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1736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COUNTIF(Data!B$3:B$602,"Hudson")</f>
        <v>12</v>
      </c>
      <c r="C2" s="19" t="s">
        <v>1724</v>
      </c>
      <c r="D2" s="32">
        <f>COUNTIFS(Data!B$3:B$602,"Hudson",Data!E3:E602,"visited")+COUNTIFS(Data!B$3:B$602,"Hudson",Data!E3:E602,"queued")+COUNTIFS(Data!B$3:B$602,"Hudson",Data!E3:E602,"pre-challenge")</f>
        <v>11</v>
      </c>
      <c r="E2" s="20" t="s">
        <v>1725</v>
      </c>
      <c r="F2" s="33">
        <f>B2-D2</f>
        <v>1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17">_xlfn._xlws.FILTER(Data!A$3:AU$602,Data!B$3:B$602="Hudson","")</f>
        <v>Bayonne</v>
      </c>
      <c r="B6" t="str">
        <v>Hudson</v>
      </c>
      <c r="C6" t="str">
        <v>3401703580</v>
      </c>
      <c r="D6" t="str">
        <v>city</v>
      </c>
      <c r="E6" t="str">
        <v>pre-challenge</v>
      </c>
      <c r="F6">
        <v>0</v>
      </c>
      <c r="G6" t="str">
        <v>Otaiko Hibachi &amp; Sushi Lounge</v>
      </c>
      <c r="H6">
        <v>44746</v>
      </c>
      <c r="I6" t="str">
        <v>Otaiko Hibachi &amp; Sushi Lounge</v>
      </c>
      <c r="J6" t="str">
        <v>https://otaikobayonne.com/</v>
      </c>
      <c r="K6" t="str">
        <v>https://en.wikipedia.org/wiki/Bayonne,_New_Jersey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East Newark</v>
      </c>
      <c r="B7" t="str">
        <v>Hudson</v>
      </c>
      <c r="C7" t="str">
        <v>3401719360</v>
      </c>
      <c r="D7" t="str">
        <v>borough</v>
      </c>
      <c r="E7" t="str">
        <v>visited</v>
      </c>
      <c r="F7">
        <v>113</v>
      </c>
      <c r="G7" t="str">
        <v>Tops Diner</v>
      </c>
      <c r="H7">
        <v>45176</v>
      </c>
      <c r="I7" t="str">
        <v>Tops Diner</v>
      </c>
      <c r="J7" t="str">
        <v>https://www.thetopsdiner.com/</v>
      </c>
      <c r="K7" t="str">
        <v>https://en.wikipedia.org/wiki/East_Newark,_New_Jersey</v>
      </c>
      <c r="L7" t="str">
        <v>NJ Town #113: East Newark</v>
      </c>
      <c r="M7" t="str">
        <v>https://www.instagram.com/p/DJkVCz_RHYf/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tr">
        <v>Town #113</v>
      </c>
      <c r="AM7" t="str">
        <v>https://www.instagram.com/p/DJkVCz_RHYf/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Guttenberg</v>
      </c>
      <c r="B8" t="str">
        <v>Hudson</v>
      </c>
      <c r="C8" t="str">
        <v>3401728650</v>
      </c>
      <c r="D8" t="str">
        <v>town</v>
      </c>
      <c r="E8" t="str">
        <v>visited</v>
      </c>
      <c r="F8">
        <v>99</v>
      </c>
      <c r="G8" t="str">
        <v>Rumba Cubana</v>
      </c>
      <c r="H8">
        <v>45149</v>
      </c>
      <c r="I8" t="str">
        <v>Rumba Cubana</v>
      </c>
      <c r="J8" t="str">
        <v>https://www.rumbacubana.com/</v>
      </c>
      <c r="K8" t="str">
        <v>https://en.wikipedia.org/wiki/Guttenberg,_New_Jersey</v>
      </c>
      <c r="L8" t="str">
        <v>NJ Town #99: Guttenberg</v>
      </c>
      <c r="M8" t="str">
        <v>https://www.instagram.com/p/DE5gvsaR9GF/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tr">
        <v>Town #99</v>
      </c>
      <c r="AM8" t="str">
        <v>https://www.instagram.com/p/DE5gvsaR9GF/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Harrison</v>
      </c>
      <c r="B9" t="str">
        <v>Hudson</v>
      </c>
      <c r="C9" t="str">
        <v>3401730210</v>
      </c>
      <c r="D9" t="str">
        <v>town</v>
      </c>
      <c r="E9" t="str">
        <v>queued</v>
      </c>
      <c r="F9">
        <v>134</v>
      </c>
      <c r="G9" t="str">
        <v>Mi Flor De La Canela</v>
      </c>
      <c r="H9">
        <v>45232</v>
      </c>
      <c r="I9">
        <v>0</v>
      </c>
      <c r="J9">
        <v>0</v>
      </c>
      <c r="K9" t="str">
        <v>https://en.wikipedia.org/wiki/Harrison,_Hudson_County,_New_Jersey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Hoboken</v>
      </c>
      <c r="B10" t="str">
        <v>Hudson</v>
      </c>
      <c r="C10" t="str">
        <v>3401732250</v>
      </c>
      <c r="D10" t="str">
        <v>city</v>
      </c>
      <c r="E10" t="str">
        <v>pre-challenge</v>
      </c>
      <c r="F10">
        <v>0</v>
      </c>
      <c r="G10" t="str">
        <v>Margherita's</v>
      </c>
      <c r="H10">
        <v>42659</v>
      </c>
      <c r="I10" t="str">
        <v>Margherita's</v>
      </c>
      <c r="J10" t="str">
        <v>https://www.margheritasrestaurant.com/</v>
      </c>
      <c r="K10" t="str">
        <v>https://en.wikipedia.org/wiki/Hoboken,_New_Jersey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Jersey City</v>
      </c>
      <c r="B11" t="str">
        <v>Hudson</v>
      </c>
      <c r="C11" t="str">
        <v>3401736000</v>
      </c>
      <c r="D11" t="str">
        <v>city</v>
      </c>
      <c r="E11" t="str">
        <v>pre-challenge</v>
      </c>
      <c r="F11">
        <v>0</v>
      </c>
      <c r="G11" t="str">
        <v>Max's Chicken</v>
      </c>
      <c r="H11">
        <v>43002</v>
      </c>
      <c r="I11" t="str">
        <v>Max's Restaurant</v>
      </c>
      <c r="J11" t="str">
        <v>https://www.maxsrestaurantna.com/</v>
      </c>
      <c r="K11" t="str">
        <v>https://en.wikipedia.org/wiki/Jersey_City,_New_Jersey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Kearny</v>
      </c>
      <c r="B12" t="str">
        <v>Hudson</v>
      </c>
      <c r="C12" t="str">
        <v>3401736510</v>
      </c>
      <c r="D12" t="str">
        <v>town</v>
      </c>
      <c r="E12" t="str">
        <v>queued</v>
      </c>
      <c r="F12">
        <v>147</v>
      </c>
      <c r="G12" t="str">
        <v>Vincente's Bread Kitchen &amp; Cafe</v>
      </c>
      <c r="H12">
        <v>45256</v>
      </c>
      <c r="I12" t="str">
        <v>Vicente's Bread Kitchen &amp; Café</v>
      </c>
      <c r="J12" t="str">
        <v>https://www.vicentesbread.com/</v>
      </c>
      <c r="K12" t="str">
        <v>https://en.wikipedia.org/wiki/Kearny,_New_Jersey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North Bergen</v>
      </c>
      <c r="B13" t="str">
        <v>Hudson</v>
      </c>
      <c r="C13" t="str">
        <v>3401752470</v>
      </c>
      <c r="D13" t="str">
        <v>township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https://en.wikipedia.org/wiki/North_Bergen_Township,_New_Jersey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Secaucus</v>
      </c>
      <c r="B14" t="str">
        <v>Hudson</v>
      </c>
      <c r="C14" t="str">
        <v>3401766570</v>
      </c>
      <c r="D14" t="str">
        <v>town</v>
      </c>
      <c r="E14" t="str">
        <v>queued</v>
      </c>
      <c r="F14">
        <v>138</v>
      </c>
      <c r="G14" t="str">
        <v>Legends Diner</v>
      </c>
      <c r="H14">
        <v>45241</v>
      </c>
      <c r="I14" t="str">
        <v>Legends Diner</v>
      </c>
      <c r="J14" t="str">
        <v>https://www.legendsdiner-nj.com/</v>
      </c>
      <c r="K14" t="str">
        <v>https://en.wikipedia.org/wiki/Secaucus,_New_Jersey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Union City</v>
      </c>
      <c r="B15" t="str">
        <v>Hudson</v>
      </c>
      <c r="C15" t="str">
        <v>3401774630</v>
      </c>
      <c r="D15" t="str">
        <v>city</v>
      </c>
      <c r="E15" t="str">
        <v>queued</v>
      </c>
      <c r="F15">
        <v>155</v>
      </c>
      <c r="G15" t="str">
        <v>El Artesano Restaurant</v>
      </c>
      <c r="H15">
        <v>45279</v>
      </c>
      <c r="I15" t="str">
        <v>El Artesano Restaurant</v>
      </c>
      <c r="J15" t="str">
        <v>https://elartesanorestaurant.com/</v>
      </c>
      <c r="K15" t="str">
        <v>https://en.wikipedia.org/wiki/Union_City,_New_Jersey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Weehawken</v>
      </c>
      <c r="B16" t="str">
        <v>Hudson</v>
      </c>
      <c r="C16" t="str">
        <v>3401777930</v>
      </c>
      <c r="D16" t="str">
        <v>township</v>
      </c>
      <c r="E16" t="str">
        <v>pre-challenge</v>
      </c>
      <c r="F16">
        <v>0</v>
      </c>
      <c r="G16" t="str">
        <v>The Chart House</v>
      </c>
      <c r="H16">
        <v>42722</v>
      </c>
      <c r="I16" t="str">
        <v>Chart House</v>
      </c>
      <c r="J16" t="str">
        <v>https://www.chart-house.com/</v>
      </c>
      <c r="K16" t="str">
        <v>https://en.wikipedia.org/wiki/Weehawken_Township,_New_Jersey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West New York</v>
      </c>
      <c r="B17" t="str">
        <v>Hudson</v>
      </c>
      <c r="C17" t="str">
        <v>3401779610</v>
      </c>
      <c r="D17" t="str">
        <v>town</v>
      </c>
      <c r="E17" t="str">
        <v>pre-challenge</v>
      </c>
      <c r="F17">
        <v>0</v>
      </c>
      <c r="G17" t="str">
        <v>Las Palmas</v>
      </c>
      <c r="H17">
        <v>42939</v>
      </c>
      <c r="I17" t="str">
        <v>Las Palmas Restaurant</v>
      </c>
      <c r="J17" t="str">
        <v>https://www.laspalmastogo.com/</v>
      </c>
      <c r="K17" t="str">
        <v>https://en.wikipedia.org/wiki/West_New_York,_New_Jersey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U31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1737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COUNTIF(Data!B$3:B$602,"Hunterdon")</f>
        <v>26</v>
      </c>
      <c r="C2" s="19" t="s">
        <v>1724</v>
      </c>
      <c r="D2" s="32">
        <f>COUNTIFS(Data!B$3:B$602,"Hunterdon",Data!E3:E602,"visited")+COUNTIFS(Data!B$3:B$602,"Hunterdon",Data!E3:E602,"queued")+COUNTIFS(Data!B$3:B$602,"Hunterdon",Data!E3:E602,"pre-challenge")</f>
        <v>13</v>
      </c>
      <c r="E2" s="20" t="s">
        <v>1725</v>
      </c>
      <c r="F2" s="33">
        <f>B2-D2</f>
        <v>13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31">_xlfn._xlws.FILTER(Data!A$3:AU$602,Data!B$3:B$602="Hunterdon","")</f>
        <v>Alexandria</v>
      </c>
      <c r="B6" t="str">
        <v>Hunterdon</v>
      </c>
      <c r="C6" t="str">
        <v>3401900550</v>
      </c>
      <c r="D6" t="str">
        <v>township</v>
      </c>
      <c r="E6" t="str">
        <v>queued</v>
      </c>
      <c r="F6">
        <v>245</v>
      </c>
      <c r="G6" t="str">
        <v>The Ciderhouse At Ironbound Farm</v>
      </c>
      <c r="H6">
        <v>45599</v>
      </c>
      <c r="I6" t="str">
        <v>Ironbound Farm and Ciderhouse</v>
      </c>
      <c r="J6" t="str">
        <v>https://www.ironboundhardcider.com/</v>
      </c>
      <c r="K6" t="str">
        <v>https://en.wikipedia.org/wiki/Alexandria_Township,_New_Jersey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Bethlehem</v>
      </c>
      <c r="B7" t="str">
        <v>Hunterdon</v>
      </c>
      <c r="C7" t="str">
        <v>3401905650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https://en.wikipedia.org/wiki/Bethlehem_Township,_New_Jersey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Bloomsbury</v>
      </c>
      <c r="B8" t="str">
        <v>Hunterdon</v>
      </c>
      <c r="C8" t="str">
        <v>3401906370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https://en.wikipedia.org/wiki/Bloomsbury,_New_Jersey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Califon</v>
      </c>
      <c r="B9" t="str">
        <v>Hunterdon</v>
      </c>
      <c r="C9" t="str">
        <v>3401909280</v>
      </c>
      <c r="D9" t="str">
        <v>borough</v>
      </c>
      <c r="E9" t="str">
        <v>queued</v>
      </c>
      <c r="F9">
        <v>253</v>
      </c>
      <c r="G9" t="str">
        <v>Oscar's Gourmet Restaurant</v>
      </c>
      <c r="H9">
        <v>45641</v>
      </c>
      <c r="I9" t="str">
        <v>Oscar's Gourmet Café</v>
      </c>
      <c r="J9" t="str">
        <v>https://oscarsgourmetcafenj.com/</v>
      </c>
      <c r="K9" t="str">
        <v>https://en.wikipedia.org/wiki/Califon,_New_Jersey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Clinton</v>
      </c>
      <c r="B10" t="str">
        <v>Hunterdon</v>
      </c>
      <c r="C10" t="str">
        <v>3401913720</v>
      </c>
      <c r="D10" t="str">
        <v>town</v>
      </c>
      <c r="E10" t="str">
        <v>visited</v>
      </c>
      <c r="F10">
        <v>122</v>
      </c>
      <c r="G10" t="str">
        <v>The River Mill View</v>
      </c>
      <c r="H10">
        <v>45207</v>
      </c>
      <c r="I10" t="str">
        <v>The Clean Plate Kitchen</v>
      </c>
      <c r="J10" t="str">
        <v>https://www.thecleanplatekitchen.com/</v>
      </c>
      <c r="K10" t="str">
        <v>https://en.wikipedia.org/wiki/Clinton,_New_Jersey</v>
      </c>
      <c r="L10" t="str">
        <v>NJ Town #122: Clinton (Town)</v>
      </c>
      <c r="M10" t="str">
        <v>https://www.instagram.com/p/DOywgWSkaht/</v>
      </c>
      <c r="N10" t="str">
        <v>NJ Town #122: Bonus Town Trivia</v>
      </c>
      <c r="O10" t="str">
        <v>https://www.instagram.com/p/DO9FQC-kQeO/?img_index=1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tr">
        <v>NJ Town #122: Clinton (Town)</v>
      </c>
      <c r="AG10" t="str">
        <v>https://www.facebook.com/reel/691219140006002</v>
      </c>
      <c r="AH10" t="str">
        <v>NJ Town #122: Bonus Town Trivia</v>
      </c>
      <c r="AI10" t="str">
        <v>https://www.facebook.com/permalink.php?story_fbid=pfbid02TF9j57yNdHYdErGN9H3fhgfRHMjakbPZNhmG3aaLkE18iFcvNSkLfDKCBWjNxQ3xl&amp;id=61569640546791</v>
      </c>
      <c r="AJ10">
        <v>0</v>
      </c>
      <c r="AK10">
        <v>0</v>
      </c>
      <c r="AL10" t="str">
        <v>Town #122</v>
      </c>
      <c r="AM10" t="str">
        <v>https://www.instagram.com/p/DOywgWSkaht/</v>
      </c>
      <c r="AN10">
        <v>0</v>
      </c>
      <c r="AO10">
        <v>0</v>
      </c>
      <c r="AP10" t="str">
        <v>Town #122 - Bonus Town Trivia</v>
      </c>
      <c r="AQ10" t="str">
        <v>https://www.instagram.com/p/DO9FQC-kQeO/?img_index=1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Clinton</v>
      </c>
      <c r="B11" t="str">
        <v>Hunterdon</v>
      </c>
      <c r="C11" t="str">
        <v>3401913750</v>
      </c>
      <c r="D11" t="str">
        <v>township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https://en.wikipedia.org/wiki/Clinton_Township,_New_Jersey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Delaware</v>
      </c>
      <c r="B12" t="str">
        <v>Hunterdon</v>
      </c>
      <c r="C12" t="str">
        <v>3401917170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https://en.wikipedia.org/wiki/Delaware_Township,_New_Jersey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East Amwell</v>
      </c>
      <c r="B13" t="str">
        <v>Hunterdon</v>
      </c>
      <c r="C13" t="str">
        <v>3401918820</v>
      </c>
      <c r="D13" t="str">
        <v>township</v>
      </c>
      <c r="E13" t="str">
        <v>queued</v>
      </c>
      <c r="F13">
        <v>153</v>
      </c>
      <c r="G13" t="str">
        <v>Old York Cellars Winery</v>
      </c>
      <c r="H13">
        <v>45270</v>
      </c>
      <c r="I13" t="str">
        <v>Old York Cellars Winery</v>
      </c>
      <c r="J13" t="str">
        <v>https://www.oldyorkcellars.com/</v>
      </c>
      <c r="K13" t="str">
        <v>https://en.wikipedia.org/wiki/East_Amwell_Township,_New_Jersey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Flemington</v>
      </c>
      <c r="B14" t="str">
        <v>Hunterdon</v>
      </c>
      <c r="C14" t="str">
        <v>3401923700</v>
      </c>
      <c r="D14" t="str">
        <v>borough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https://en.wikipedia.org/wiki/Flemington,_New_Jersey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Franklin</v>
      </c>
      <c r="B15" t="str">
        <v>Hunterdon</v>
      </c>
      <c r="C15" t="str">
        <v>3401924870</v>
      </c>
      <c r="D15" t="str">
        <v>township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https://en.wikipedia.org/wiki/Franklin_Township,_Hunterdon_County,_New_Jersey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Frenchtown</v>
      </c>
      <c r="B16" t="str">
        <v>Hunterdon</v>
      </c>
      <c r="C16" t="str">
        <v>3401925350</v>
      </c>
      <c r="D16" t="str">
        <v>borough</v>
      </c>
      <c r="E16" t="str">
        <v>pre-challenge</v>
      </c>
      <c r="F16">
        <v>0</v>
      </c>
      <c r="G16" t="str">
        <v>Bridge Café</v>
      </c>
      <c r="H16">
        <v>42983</v>
      </c>
      <c r="I16" t="str">
        <v>The Bridge Café</v>
      </c>
      <c r="J16" t="str">
        <v>https://bridgecafe.net/</v>
      </c>
      <c r="K16" t="str">
        <v>https://en.wikipedia.org/wiki/Frenchtown,_New_Jersey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Glen Gardner</v>
      </c>
      <c r="B17" t="str">
        <v>Hunterdon</v>
      </c>
      <c r="C17" t="str">
        <v>3401926550</v>
      </c>
      <c r="D17" t="str">
        <v>borough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https://en.wikipedia.org/wiki/Glen_Gardner,_New_Jersey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Hampton</v>
      </c>
      <c r="B18" t="str">
        <v>Hunterdon</v>
      </c>
      <c r="C18" t="str">
        <v>3401929460</v>
      </c>
      <c r="D18" t="str">
        <v>borough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https://en.wikipedia.org/wiki/Hampton,_Hunterdon_County,_New_Jersey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High Bridge</v>
      </c>
      <c r="B19" t="str">
        <v>Hunterdon</v>
      </c>
      <c r="C19" t="str">
        <v>3401931320</v>
      </c>
      <c r="D19" t="str">
        <v>borough</v>
      </c>
      <c r="E19" t="str">
        <v>queued</v>
      </c>
      <c r="F19">
        <v>200</v>
      </c>
      <c r="G19" t="str">
        <v>Circa Restaurant</v>
      </c>
      <c r="H19">
        <v>45452</v>
      </c>
      <c r="I19" t="str">
        <v>Circa Restaurant</v>
      </c>
      <c r="J19" t="str">
        <v>http://circa-restaurant.com/</v>
      </c>
      <c r="K19" t="str">
        <v>https://en.wikipedia.org/wiki/High_Bridge,_New_Jersey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Holland</v>
      </c>
      <c r="B20" t="str">
        <v>Hunterdon</v>
      </c>
      <c r="C20" t="str">
        <v>3401932460</v>
      </c>
      <c r="D20" t="str">
        <v>township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https://en.wikipedia.org/wiki/Holland_Township,_New_Jersey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Kingwood</v>
      </c>
      <c r="B21" t="str">
        <v>Hunterdon</v>
      </c>
      <c r="C21" t="str">
        <v>3401937065</v>
      </c>
      <c r="D21" t="str">
        <v>township</v>
      </c>
      <c r="E21" t="str">
        <v>pre-challenge</v>
      </c>
      <c r="F21">
        <v>0</v>
      </c>
      <c r="G21" t="str">
        <v>Famous River Hot Dog Man</v>
      </c>
      <c r="H21">
        <v>42983</v>
      </c>
      <c r="I21" t="str">
        <v>The Famous River Hot Dog Man</v>
      </c>
      <c r="J21" t="str">
        <v>https://delawarerivertubing.com/HowToFind.html</v>
      </c>
      <c r="K21" t="str">
        <v>https://en.wikipedia.org/wiki/Kingwood_Township,_New_Jersey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Lambertville</v>
      </c>
      <c r="B22" t="str">
        <v>Hunterdon</v>
      </c>
      <c r="C22" t="str">
        <v>3401938610</v>
      </c>
      <c r="D22" t="str">
        <v>city</v>
      </c>
      <c r="E22" t="str">
        <v>visited</v>
      </c>
      <c r="F22">
        <v>105</v>
      </c>
      <c r="G22" t="str">
        <v>The Hawke</v>
      </c>
      <c r="H22">
        <v>45157</v>
      </c>
      <c r="I22" t="str">
        <v>The Hawke</v>
      </c>
      <c r="J22" t="str">
        <v>https://www.thehawkerestaurant.com/</v>
      </c>
      <c r="K22" t="str">
        <v>https://en.wikipedia.org/wiki/Lambertville,_New_Jersey</v>
      </c>
      <c r="L22" t="str">
        <v>NJ Town #105: Lambertville</v>
      </c>
      <c r="M22" t="str">
        <v>https://www.instagram.com/p/DF-yE6JRwp1/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tr">
        <v>NJ Town #105: Lambertville</v>
      </c>
      <c r="AG22" t="str">
        <v>https://www.facebook.com/reel/3874846722829800</v>
      </c>
      <c r="AH22">
        <v>0</v>
      </c>
      <c r="AI22">
        <v>0</v>
      </c>
      <c r="AJ22">
        <v>0</v>
      </c>
      <c r="AK22">
        <v>0</v>
      </c>
      <c r="AL22" t="str">
        <v>Town #105</v>
      </c>
      <c r="AM22" t="str">
        <v>https://www.instagram.com/p/DF-yE6JRwp1/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Lebanon</v>
      </c>
      <c r="B23" t="str">
        <v>Hunterdon</v>
      </c>
      <c r="C23" t="str">
        <v>3401939630</v>
      </c>
      <c r="D23" t="str">
        <v>borough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https://en.wikipedia.org/wiki/Lebanon,_New_Jersey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Lebanon</v>
      </c>
      <c r="B24" t="str">
        <v>Hunterdon</v>
      </c>
      <c r="C24" t="str">
        <v>3401939660</v>
      </c>
      <c r="D24" t="str">
        <v>township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https://en.wikipedia.org/wiki/Lebanon_Township,_New_Jersey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Milford</v>
      </c>
      <c r="B25" t="str">
        <v>Hunterdon</v>
      </c>
      <c r="C25" t="str">
        <v>3401946260</v>
      </c>
      <c r="D25" t="str">
        <v>borough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https://en.wikipedia.org/wiki/Milford,_New_Jersey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Raritan</v>
      </c>
      <c r="B26" t="str">
        <v>Hunterdon</v>
      </c>
      <c r="C26" t="str">
        <v>3401961920</v>
      </c>
      <c r="D26" t="str">
        <v>township</v>
      </c>
      <c r="E26" t="str">
        <v>visited</v>
      </c>
      <c r="F26">
        <v>106</v>
      </c>
      <c r="G26" t="str">
        <v>Flemington-Raritan Diner</v>
      </c>
      <c r="H26">
        <v>45157</v>
      </c>
      <c r="I26" t="str">
        <v>Flemington Diner</v>
      </c>
      <c r="J26" t="str">
        <v>https://www.flemingtondiner.com/</v>
      </c>
      <c r="K26" t="str">
        <v>https://en.wikipedia.org/wiki/Raritan_Township,_Hunterdon_County,_New_Jersey</v>
      </c>
      <c r="L26" t="str">
        <v>NJ Town #106: Raritan Township (Hunterdon County)</v>
      </c>
      <c r="M26" t="str">
        <v>https://www.instagram.com/p/DGOlCNwx4Om/?img_index=1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tr">
        <v>NJ Town #106: Raritan Township (Hunterdon County)</v>
      </c>
      <c r="AG26" t="str">
        <v>https://www.facebook.com/permalink.php?story_fbid=pfbid03z5cC2GfkKPNUsJGCNvh9naAqsEBeWpBB9TLsbhYkXggPpmJMHC71qUPGCjJyemol&amp;id=61569640546791</v>
      </c>
      <c r="AH26">
        <v>0</v>
      </c>
      <c r="AI26">
        <v>0</v>
      </c>
      <c r="AJ26">
        <v>0</v>
      </c>
      <c r="AK26">
        <v>0</v>
      </c>
      <c r="AL26" t="str">
        <v>Town #106</v>
      </c>
      <c r="AM26" t="str">
        <v>https://www.instagram.com/p/DGOlCNwx4Om/?img_index=1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Readington</v>
      </c>
      <c r="B27" t="str">
        <v>Hunterdon</v>
      </c>
      <c r="C27" t="str">
        <v>3401962250</v>
      </c>
      <c r="D27" t="str">
        <v>township</v>
      </c>
      <c r="E27" t="str">
        <v>queued</v>
      </c>
      <c r="F27">
        <v>273</v>
      </c>
      <c r="G27" t="str">
        <v>June's Tuttobene Restaurant</v>
      </c>
      <c r="H27">
        <v>45809</v>
      </c>
      <c r="I27" t="str">
        <v>Junes Tuttobene Italian Restaurant</v>
      </c>
      <c r="J27" t="str">
        <v>https://www.instagram.com/reel/DN0dg8a4tIR/</v>
      </c>
      <c r="K27" t="str">
        <v>https://en.wikipedia.org/wiki/Readington_Township,_New_Jersey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Stockton</v>
      </c>
      <c r="B28" t="str">
        <v>Hunterdon</v>
      </c>
      <c r="C28" t="str">
        <v>3401970980</v>
      </c>
      <c r="D28" t="str">
        <v>borough</v>
      </c>
      <c r="E28" t="str">
        <v>unvisited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>https://en.wikipedia.org/wiki/Stockton,_New_Jersey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Tewksbury</v>
      </c>
      <c r="B29" t="str">
        <v>Hunterdon</v>
      </c>
      <c r="C29" t="str">
        <v>3401972510</v>
      </c>
      <c r="D29" t="str">
        <v>township</v>
      </c>
      <c r="E29" t="str">
        <v>queued</v>
      </c>
      <c r="F29">
        <v>186</v>
      </c>
      <c r="G29" t="str">
        <v>Oldwick General Store</v>
      </c>
      <c r="H29">
        <v>45029</v>
      </c>
      <c r="I29" t="str">
        <v>The Oldwick General Store</v>
      </c>
      <c r="J29" t="str">
        <v>https://theoldwickgeneralstore.com/</v>
      </c>
      <c r="K29" t="str">
        <v>https://en.wikipedia.org/wiki/Tewksbury_Township,_New_Jersey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Union</v>
      </c>
      <c r="B30" t="str">
        <v>Hunterdon</v>
      </c>
      <c r="C30" t="str">
        <v>3401974420</v>
      </c>
      <c r="D30" t="str">
        <v>township</v>
      </c>
      <c r="E30" t="str">
        <v>visited</v>
      </c>
      <c r="F30">
        <v>121</v>
      </c>
      <c r="G30" t="str">
        <v>Clinton Station Diner</v>
      </c>
      <c r="H30">
        <v>45207</v>
      </c>
      <c r="I30" t="str">
        <v>Clinton Station Diner</v>
      </c>
      <c r="J30" t="str">
        <v>https://www.clintonstationdiner.com/</v>
      </c>
      <c r="K30" t="str">
        <v>https://en.wikipedia.org/wiki/Union_Township,_Hunterdon_County,_New_Jersey</v>
      </c>
      <c r="L30" t="str">
        <v>NJ Town #121 - Union Township (Hunterdon County)</v>
      </c>
      <c r="M30" t="str">
        <v>https://www.instagram.com/reel/DN0dg8a4tIR/</v>
      </c>
      <c r="N30" t="str">
        <v>Bonus Town Trivia</v>
      </c>
      <c r="O30" t="str">
        <v>https://www.instagram.com/p/DOOz5AaEVfq/?img_index=1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tr">
        <v>Bonus Town Trivia</v>
      </c>
      <c r="AG30" t="str">
        <v>https://www.facebook.com/permalink.php?story_fbid=pfbid0KZuEYMu5aNCao9mesuW6SzP9afJsdC2odhzVLb2G3nGsfoTbo2KPrrqSULzASKhQl&amp;id=61569640546791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West Amwell</v>
      </c>
      <c r="B31" t="str">
        <v>Hunterdon</v>
      </c>
      <c r="C31" t="str">
        <v>3401978230</v>
      </c>
      <c r="D31" t="str">
        <v>township</v>
      </c>
      <c r="E31" t="str">
        <v>queued</v>
      </c>
      <c r="F31">
        <v>154</v>
      </c>
      <c r="G31" t="str">
        <v>Amwell Valley Diner</v>
      </c>
      <c r="H31">
        <v>45270</v>
      </c>
      <c r="I31">
        <v>0</v>
      </c>
      <c r="J31">
        <v>0</v>
      </c>
      <c r="K31" t="str">
        <v>https://en.wikipedia.org/wiki/West_Amwell_Township,_New_Jersey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U17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1738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COUNTIF(Data!B$3:B$602,"Mercer")</f>
        <v>12</v>
      </c>
      <c r="C2" s="19" t="s">
        <v>1724</v>
      </c>
      <c r="D2" s="32">
        <f>COUNTIFS(Data!B$3:B$602,"Mercer",Data!E3:E602,"visited")+COUNTIFS(Data!B$3:B$602,"Mercer",Data!E3:E602,"queued")+COUNTIFS(Data!B$3:B$602,"Mercer",Data!E3:E602,"pre-challenge")</f>
        <v>10</v>
      </c>
      <c r="E2" s="20" t="s">
        <v>1725</v>
      </c>
      <c r="F2" s="33">
        <f>B2-D2</f>
        <v>2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17">_xlfn._xlws.FILTER(Data!A$3:AU$602,Data!B$3:B$602="Mercer","")</f>
        <v>East Windsor</v>
      </c>
      <c r="B6" t="str">
        <v>Mercer</v>
      </c>
      <c r="C6" t="str">
        <v>3402119780</v>
      </c>
      <c r="D6" t="str">
        <v>township</v>
      </c>
      <c r="E6" t="str">
        <v>pre-challenge</v>
      </c>
      <c r="F6">
        <v>0</v>
      </c>
      <c r="G6" t="str">
        <v>Friend's Halloween Party</v>
      </c>
      <c r="H6">
        <v>43400</v>
      </c>
      <c r="I6">
        <v>0</v>
      </c>
      <c r="J6">
        <v>0</v>
      </c>
      <c r="K6" t="str">
        <v>https://en.wikipedia.org/wiki/East_Windsor_Township,_New_Jersey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Ewing</v>
      </c>
      <c r="B7" t="str">
        <v>Mercer</v>
      </c>
      <c r="C7" t="str">
        <v>3402122185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https://en.wikipedia.org/wiki/Ewing_Township,_New_Jersey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Hamilton</v>
      </c>
      <c r="B8" t="str">
        <v>Mercer</v>
      </c>
      <c r="C8" t="str">
        <v>3402129310</v>
      </c>
      <c r="D8" t="str">
        <v>township</v>
      </c>
      <c r="E8" t="str">
        <v>pre-challenge</v>
      </c>
      <c r="F8">
        <v>0</v>
      </c>
      <c r="G8" t="str">
        <v>Ratz</v>
      </c>
      <c r="H8">
        <v>42547</v>
      </c>
      <c r="I8" t="str">
        <v>Rat's Restaurant</v>
      </c>
      <c r="J8" t="str">
        <v>https://www.ratsrestaurant.com/</v>
      </c>
      <c r="K8" t="str">
        <v>https://en.wikipedia.org/wiki/Hamilton_Township,_Mercer_County,_New_Jersey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Hightstown</v>
      </c>
      <c r="B9" t="str">
        <v>Mercer</v>
      </c>
      <c r="C9" t="str">
        <v>3402131620</v>
      </c>
      <c r="D9" t="str">
        <v>borough</v>
      </c>
      <c r="E9" t="str">
        <v>queued</v>
      </c>
      <c r="F9">
        <v>150</v>
      </c>
      <c r="G9" t="str">
        <v>Tavern on the Lake</v>
      </c>
      <c r="H9">
        <v>45263</v>
      </c>
      <c r="I9" t="str">
        <v>Tavern on the Lake</v>
      </c>
      <c r="J9" t="str">
        <v>https://tavernonthelake.net/</v>
      </c>
      <c r="K9" t="str">
        <v>https://en.wikipedia.org/wiki/Hightstown,_New_Jersey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Hopewell</v>
      </c>
      <c r="B10" t="str">
        <v>Mercer</v>
      </c>
      <c r="C10" t="str">
        <v>3402133150</v>
      </c>
      <c r="D10" t="str">
        <v>borough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https://en.wikipedia.org/wiki/Hopewell,_Mercer_County,_New_Jersey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Hopewell</v>
      </c>
      <c r="B11" t="str">
        <v>Mercer</v>
      </c>
      <c r="C11" t="str">
        <v>3402133180</v>
      </c>
      <c r="D11" t="str">
        <v>township</v>
      </c>
      <c r="E11" t="str">
        <v>queued</v>
      </c>
      <c r="F11">
        <v>151</v>
      </c>
      <c r="G11" t="str">
        <v>Wildflowers Inn</v>
      </c>
      <c r="H11">
        <v>45268</v>
      </c>
      <c r="I11" t="str">
        <v>Wildflowers Inn</v>
      </c>
      <c r="J11" t="str">
        <v>https://www.wildflowersinnrestaurant.com/</v>
      </c>
      <c r="K11" t="str">
        <v>https://en.wikipedia.org/wiki/Hopewell_Township,_Mercer_County,_New_Jersey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Lawrence</v>
      </c>
      <c r="B12" t="str">
        <v>Mercer</v>
      </c>
      <c r="C12" t="str">
        <v>3402139510</v>
      </c>
      <c r="D12" t="str">
        <v>township</v>
      </c>
      <c r="E12" t="str">
        <v>visited</v>
      </c>
      <c r="F12">
        <v>129</v>
      </c>
      <c r="G12" t="str">
        <v>Route 1 Diner</v>
      </c>
      <c r="H12">
        <v>45221</v>
      </c>
      <c r="I12" t="str">
        <v>Route 1 Diner</v>
      </c>
      <c r="J12" t="str">
        <v>https://www.route1diner.com/</v>
      </c>
      <c r="K12" t="str">
        <v>https://en.wikipedia.org/wiki/Lawrence_Township,_Mercer_County,_New_Jersey</v>
      </c>
      <c r="L12" t="str">
        <v>NJ Town #129: Lawrence</v>
      </c>
      <c r="M12" t="str">
        <v>https://www.instagram.com/p/DXmxmYrR577/</v>
      </c>
      <c r="N12" t="str">
        <v>NJ Town #129: Bonus Town Trivia</v>
      </c>
      <c r="O12" t="str">
        <v>https://www.instagram.com/p/DX4f85NkZE3/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tr">
        <v>NJ Town #129: Lawrence</v>
      </c>
      <c r="AG12" t="str">
        <v>https://www.facebook.com/reel/1282624290064029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Pennington</v>
      </c>
      <c r="B13" t="str">
        <v>Mercer</v>
      </c>
      <c r="C13" t="str">
        <v>3402157600</v>
      </c>
      <c r="D13" t="str">
        <v>borough</v>
      </c>
      <c r="E13" t="str">
        <v>queued</v>
      </c>
      <c r="F13">
        <v>152</v>
      </c>
      <c r="G13" t="str">
        <v>Vito's Pizza</v>
      </c>
      <c r="H13">
        <v>45268</v>
      </c>
      <c r="I13" t="str">
        <v>Vito's Pizzeria &amp; Sub Shop</v>
      </c>
      <c r="J13" t="str">
        <v>https://www.vitospennington.com/</v>
      </c>
      <c r="K13" t="str">
        <v>https://en.wikipedia.org/wiki/Pennington,_New_Jersey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Princeton</v>
      </c>
      <c r="B14" t="str">
        <v>Mercer</v>
      </c>
      <c r="C14" t="str">
        <v>3402160900</v>
      </c>
      <c r="D14">
        <v>0</v>
      </c>
      <c r="E14" t="str">
        <v>pre-challenge</v>
      </c>
      <c r="F14">
        <v>0</v>
      </c>
      <c r="G14" t="str">
        <v>Nomad Pizza</v>
      </c>
      <c r="H14">
        <v>43281</v>
      </c>
      <c r="I14" t="str">
        <v>Nomad Pizza</v>
      </c>
      <c r="J14" t="str">
        <v>http://www.nomadpizzaco.com/</v>
      </c>
      <c r="K14" t="str">
        <v>https://en.wikipedia.org/wiki/Princeton,_New_Jersey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Robbinsville</v>
      </c>
      <c r="B15" t="str">
        <v>Mercer</v>
      </c>
      <c r="C15" t="str">
        <v>3402163850</v>
      </c>
      <c r="D15" t="str">
        <v>township</v>
      </c>
      <c r="E15" t="str">
        <v>queued</v>
      </c>
      <c r="F15">
        <v>159</v>
      </c>
      <c r="G15" t="str">
        <v>Papa's Tomato Pies</v>
      </c>
      <c r="H15">
        <v>45284</v>
      </c>
      <c r="I15" t="str">
        <v>Papa's Tomato Pies</v>
      </c>
      <c r="J15" t="str">
        <v>https://www.papastomatopies.com/</v>
      </c>
      <c r="K15" t="str">
        <v>https://en.wikipedia.org/wiki/Robbinsville_Township,_New_Jersey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Trenton</v>
      </c>
      <c r="B16" t="str">
        <v>Mercer</v>
      </c>
      <c r="C16" t="str">
        <v>3402174000</v>
      </c>
      <c r="D16" t="str">
        <v>city</v>
      </c>
      <c r="E16" t="str">
        <v>visited</v>
      </c>
      <c r="F16">
        <v>97</v>
      </c>
      <c r="G16" t="str">
        <v>Cooper's Riverview</v>
      </c>
      <c r="H16">
        <v>45143</v>
      </c>
      <c r="I16" t="str">
        <v>Cooper's Riverview</v>
      </c>
      <c r="J16" t="str">
        <v>https://www.coopersnj.com/</v>
      </c>
      <c r="K16" t="str">
        <v>https://en.wikipedia.org/wiki/Trenton,_New_Jersey</v>
      </c>
      <c r="L16" t="str">
        <v>NJ Town #97: Trenton</v>
      </c>
      <c r="M16" t="str">
        <v>https://www.instagram.com/p/DEyDW4nxqnD/?img_index=1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tr">
        <v>NJ Town #97: Trenton</v>
      </c>
      <c r="AG16" t="str">
        <v>https://www.facebook.com/permalink.php?story_fbid=pfbid0342hV1CwqKyY46gYLJn5CtCiPhrWvHBiJVRGfxSj6Mw5LkwJfioKeyaga3XZFRuEUl&amp;id=61569640546791</v>
      </c>
      <c r="AH16">
        <v>0</v>
      </c>
      <c r="AI16">
        <v>0</v>
      </c>
      <c r="AJ16">
        <v>0</v>
      </c>
      <c r="AK16">
        <v>0</v>
      </c>
      <c r="AL16" t="str">
        <v>Town #97</v>
      </c>
      <c r="AM16" t="str">
        <v>https://www.instagram.com/p/DEyDW4nxqnD/?img_index=1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West Windsor</v>
      </c>
      <c r="B17" t="str">
        <v>Mercer</v>
      </c>
      <c r="C17" t="str">
        <v>3402180240</v>
      </c>
      <c r="D17" t="str">
        <v>township</v>
      </c>
      <c r="E17" t="str">
        <v>pre-challenge</v>
      </c>
      <c r="F17">
        <v>98</v>
      </c>
      <c r="G17" t="str">
        <v>Penang</v>
      </c>
      <c r="H17">
        <v>44870</v>
      </c>
      <c r="I17" t="str">
        <v>Penang Malaysian &amp; Thai Restaurant</v>
      </c>
      <c r="J17" t="str">
        <v>https://www.penangedison.com/</v>
      </c>
      <c r="K17" t="str">
        <v>https://en.wikipedia.org/wiki/West_Windsor_Township,_New_Jersey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30"/>
  <sheetViews>
    <sheetView workbookViewId="0">
      <pane xSplit="3" ySplit="5" topLeftCell="D6" activePane="bottomRight" state="frozen"/>
      <selection pane="topRight"/>
      <selection pane="bottomLeft"/>
      <selection pane="bottomRight" activeCell="K6" sqref="K6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1739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COUNTIF(Data!B$3:B$602,"Middlesex")</f>
        <v>25</v>
      </c>
      <c r="C2" s="19" t="s">
        <v>1724</v>
      </c>
      <c r="D2" s="32">
        <f>COUNTIFS(Data!B$3:B$602,"Middlesex",Data!E3:E602,"visited")+COUNTIFS(Data!B$3:B$602,"Middlesex",Data!E3:E602,"queued")+COUNTIFS(Data!B$3:B$602,"Middlesex",Data!E3:E602,"pre-challenge")</f>
        <v>25</v>
      </c>
      <c r="E2" s="20" t="s">
        <v>1725</v>
      </c>
      <c r="F2" s="33">
        <f>B2-D2</f>
        <v>0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30">_xlfn._xlws.FILTER(Data!A$3:AU$602,Data!B$3:B$602="Middlesex","")</f>
        <v>Carteret</v>
      </c>
      <c r="B6" t="str">
        <v>Middlesex</v>
      </c>
      <c r="C6" t="str">
        <v>3402310750</v>
      </c>
      <c r="D6" t="str">
        <v>borough</v>
      </c>
      <c r="E6" t="str">
        <v>visited</v>
      </c>
      <c r="F6">
        <v>93</v>
      </c>
      <c r="G6" t="str">
        <v>Hornito's Bakery &amp; Restaurant</v>
      </c>
      <c r="H6">
        <v>45134</v>
      </c>
      <c r="I6">
        <v>0</v>
      </c>
      <c r="J6">
        <v>0</v>
      </c>
      <c r="K6" t="str">
        <v>https://en.wikipedia.org/wiki/Carteret,_New_Jersey</v>
      </c>
      <c r="L6" t="str">
        <v>NJ Town #93: Carteret</v>
      </c>
      <c r="M6" t="str">
        <v>https://www.instagram.com/p/DEVQTC0RUeV/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t="str">
        <v>Town #93</v>
      </c>
      <c r="AM6" t="str">
        <v>https://www.instagram.com/p/DEVQTC0RUeV/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Cranbury</v>
      </c>
      <c r="B7" t="str">
        <v>Middlesex</v>
      </c>
      <c r="C7" t="str">
        <v>3402315550</v>
      </c>
      <c r="D7" t="str">
        <v>township</v>
      </c>
      <c r="E7" t="str">
        <v>visited</v>
      </c>
      <c r="F7">
        <v>102</v>
      </c>
      <c r="G7" t="str">
        <v>Zinna's Bistro</v>
      </c>
      <c r="H7">
        <v>45151</v>
      </c>
      <c r="I7" t="str">
        <v>Zinna's Bistro</v>
      </c>
      <c r="J7" t="str">
        <v>https://zinnasbistro.com/</v>
      </c>
      <c r="K7" t="str">
        <v>https://en.wikipedia.org/wiki/Cranbury_Township,_New_Jersey</v>
      </c>
      <c r="L7" t="str">
        <v>NJ Town #102: Cranbury</v>
      </c>
      <c r="M7" t="str">
        <v>https://www.instagram.com/p/DFN3QFwxTTD/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tr">
        <v>Town #102</v>
      </c>
      <c r="AM7" t="str">
        <v>https://www.instagram.com/p/DFN3QFwxTTD/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Dunellen</v>
      </c>
      <c r="B8" t="str">
        <v>Middlesex</v>
      </c>
      <c r="C8" t="str">
        <v>3402318490</v>
      </c>
      <c r="D8" t="str">
        <v>borough</v>
      </c>
      <c r="E8" t="str">
        <v>visited</v>
      </c>
      <c r="F8">
        <v>118</v>
      </c>
      <c r="G8" t="str">
        <v>Mis Amigos</v>
      </c>
      <c r="H8">
        <v>45185</v>
      </c>
      <c r="I8" t="str">
        <v>Mis Amigos Mexican Grill</v>
      </c>
      <c r="J8" t="str">
        <v>https://www.misamigosmexicangrillnj.com/</v>
      </c>
      <c r="K8" t="str">
        <v>https://en.wikipedia.org/wiki/Dunellen,_New_Jersey</v>
      </c>
      <c r="L8" t="str">
        <v>NJ Town #118: Dunellen</v>
      </c>
      <c r="M8" t="str">
        <v>https://www.instagram.com/p/DL8GzhHRRRR/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tr">
        <v>Town #118</v>
      </c>
      <c r="AM8" t="str">
        <v>https://www.instagram.com/p/DL8GzhHRRRR/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East Brunswick</v>
      </c>
      <c r="B9" t="str">
        <v>Middlesex</v>
      </c>
      <c r="C9" t="str">
        <v>3402319000</v>
      </c>
      <c r="D9" t="str">
        <v>township</v>
      </c>
      <c r="E9" t="str">
        <v>pre-challenge</v>
      </c>
      <c r="F9">
        <v>0</v>
      </c>
      <c r="G9" t="str">
        <v>Bar Louie</v>
      </c>
      <c r="H9">
        <v>44988</v>
      </c>
      <c r="I9" t="str">
        <v>Bar Louie</v>
      </c>
      <c r="J9" t="str">
        <v>https://barlouie.com/</v>
      </c>
      <c r="K9" t="str">
        <v>https://en.wikipedia.org/wiki/East_Brunswick_Township,_New_Jersey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Edison</v>
      </c>
      <c r="B10" t="str">
        <v>Middlesex</v>
      </c>
      <c r="C10" t="str">
        <v>3402320230</v>
      </c>
      <c r="D10" t="str">
        <v>township</v>
      </c>
      <c r="E10" t="str">
        <v>pre-challenge</v>
      </c>
      <c r="F10">
        <v>0</v>
      </c>
      <c r="G10" t="str">
        <v>Havana Central</v>
      </c>
      <c r="H10">
        <v>43391</v>
      </c>
      <c r="I10" t="str">
        <v>Havana Central</v>
      </c>
      <c r="J10" t="str">
        <v>https://www.havanacentral.com/</v>
      </c>
      <c r="K10" t="str">
        <v>https://en.wikipedia.org/wiki/Edison_Township,_New_Jersey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Helmetta</v>
      </c>
      <c r="B11" t="str">
        <v>Middlesex</v>
      </c>
      <c r="C11" t="str">
        <v>3402330840</v>
      </c>
      <c r="D11" t="str">
        <v>borough</v>
      </c>
      <c r="E11" t="str">
        <v>visited</v>
      </c>
      <c r="F11">
        <v>95</v>
      </c>
      <c r="G11" t="str">
        <v>Thai Food Addict</v>
      </c>
      <c r="H11">
        <v>45137</v>
      </c>
      <c r="I11" t="str">
        <v>Thai Food Addict</v>
      </c>
      <c r="J11" t="str">
        <v>https://www.thaifoodaddict.com/</v>
      </c>
      <c r="K11" t="str">
        <v>https://en.wikipedia.org/wiki/Helmetta,_New_Jersey</v>
      </c>
      <c r="L11" t="str">
        <v>NJ Town #95: Helmetta</v>
      </c>
      <c r="M11" t="str">
        <v>https://www.instagram.com/p/DEgPM5MRjW_/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t="str">
        <v>Town #95</v>
      </c>
      <c r="AM11" t="str">
        <v>https://www.instagram.com/p/DEgPM5MRjW_/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Highland Park</v>
      </c>
      <c r="B12" t="str">
        <v>Middlesex</v>
      </c>
      <c r="C12" t="str">
        <v>3402331470</v>
      </c>
      <c r="D12" t="str">
        <v>borough</v>
      </c>
      <c r="E12" t="str">
        <v>visited</v>
      </c>
      <c r="F12">
        <v>119</v>
      </c>
      <c r="G12" t="str">
        <v>Mr Pi's Sushi</v>
      </c>
      <c r="H12">
        <v>45185</v>
      </c>
      <c r="I12" t="str">
        <v>Mr. Pi's Sushi</v>
      </c>
      <c r="J12" t="str">
        <v>https://mrpisushi.com/</v>
      </c>
      <c r="K12" t="str">
        <v>https://en.wikipedia.org/wiki/Highland_Park,_New_Jersey</v>
      </c>
      <c r="L12" t="str">
        <v>NJ Town #119: Highland Park</v>
      </c>
      <c r="M12" t="str">
        <v>https://www.instagram.com/p/DMX7WD8x4H1/</v>
      </c>
      <c r="N12" t="str">
        <v>NJ Town #119: Bonus Town Trivia</v>
      </c>
      <c r="O12" t="str">
        <v>https://www.instagram.com/p/DMd0u1nR8_D/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t="str">
        <v>Town #119</v>
      </c>
      <c r="AM12" t="str">
        <v>https://www.instagram.com/p/DMX7WD8x4H1/</v>
      </c>
      <c r="AN12">
        <v>0</v>
      </c>
      <c r="AO12">
        <v>0</v>
      </c>
      <c r="AP12" t="str">
        <v>Town #119 - Bonus Town Trivia</v>
      </c>
      <c r="AQ12" t="str">
        <v>https://www.instagram.com/p/DMd0u1nR8_D/?img_index=1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Jamesburg</v>
      </c>
      <c r="B13" t="str">
        <v>Middlesex</v>
      </c>
      <c r="C13" t="str">
        <v>3402334890</v>
      </c>
      <c r="D13" t="str">
        <v>borough</v>
      </c>
      <c r="E13" t="str">
        <v>queued</v>
      </c>
      <c r="F13">
        <v>207</v>
      </c>
      <c r="G13" t="str">
        <v>The Diner</v>
      </c>
      <c r="H13">
        <v>45473</v>
      </c>
      <c r="I13" t="str">
        <v>The Diner</v>
      </c>
      <c r="J13" t="str">
        <v>https://www.thedinerjamesburg.com/</v>
      </c>
      <c r="K13" t="str">
        <v>https://en.wikipedia.org/wiki/Jamesburg,_New_Jersey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Metuchen</v>
      </c>
      <c r="B14" t="str">
        <v>Middlesex</v>
      </c>
      <c r="C14" t="str">
        <v>3402345690</v>
      </c>
      <c r="D14" t="str">
        <v>borough</v>
      </c>
      <c r="E14" t="str">
        <v>pre-challenge</v>
      </c>
      <c r="F14">
        <v>0</v>
      </c>
      <c r="G14" t="str">
        <v>Mariachi Mexican</v>
      </c>
      <c r="H14">
        <v>44359</v>
      </c>
      <c r="I14" t="str">
        <v>Mariachi Mexican Restaurant</v>
      </c>
      <c r="J14" t="str">
        <v>https://sites.onlineordersnow.com/MariachiMexican/</v>
      </c>
      <c r="K14" t="str">
        <v>https://en.wikipedia.org/wiki/Metuchen,_New_Jersey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Middlesex</v>
      </c>
      <c r="B15" t="str">
        <v>Middlesex</v>
      </c>
      <c r="C15" t="str">
        <v>3402345900</v>
      </c>
      <c r="D15" t="str">
        <v>borough</v>
      </c>
      <c r="E15" t="str">
        <v>queued</v>
      </c>
      <c r="F15">
        <v>217</v>
      </c>
      <c r="G15" t="str">
        <v>Los Antojitos BBQ Middlesex</v>
      </c>
      <c r="H15">
        <v>45514</v>
      </c>
      <c r="I15" t="str">
        <v>Los Antojitos BBQ</v>
      </c>
      <c r="J15" t="str">
        <v>https://www.losantojitosbbq.com/</v>
      </c>
      <c r="K15" t="str">
        <v>https://en.wikipedia.org/wiki/Middlesex,_New_Jersey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Milltown</v>
      </c>
      <c r="B16" t="str">
        <v>Middlesex</v>
      </c>
      <c r="C16" t="str">
        <v>3402346620</v>
      </c>
      <c r="D16" t="str">
        <v>borough</v>
      </c>
      <c r="E16" t="str">
        <v>pre-challenge</v>
      </c>
      <c r="F16">
        <v>0</v>
      </c>
      <c r="G16" t="str">
        <v>Fresco Steak &amp; Seafood - Dinner with Ryan</v>
      </c>
      <c r="H16">
        <v>43461</v>
      </c>
      <c r="I16" t="str">
        <v>Fresco Italian Steak &amp; Seafood Grill</v>
      </c>
      <c r="J16" t="str">
        <v>https://restaurantfresco.com/</v>
      </c>
      <c r="K16" t="str">
        <v>https://en.wikipedia.org/wiki/Milltown,_New_Jersey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Monroe</v>
      </c>
      <c r="B17" t="str">
        <v>Middlesex</v>
      </c>
      <c r="C17" t="str">
        <v>3402347280</v>
      </c>
      <c r="D17" t="str">
        <v>township</v>
      </c>
      <c r="E17" t="str">
        <v>pre-challenge</v>
      </c>
      <c r="F17">
        <v>0</v>
      </c>
      <c r="G17" t="str">
        <v>Taverna Ouzo (now closed)</v>
      </c>
      <c r="H17">
        <v>42469</v>
      </c>
      <c r="I17">
        <v>0</v>
      </c>
      <c r="J17">
        <v>0</v>
      </c>
      <c r="K17" t="str">
        <v>https://en.wikipedia.org/wiki/Monroe_Township,_Middlesex_County,_New_Jersey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New Brunswick</v>
      </c>
      <c r="B18" t="str">
        <v>Middlesex</v>
      </c>
      <c r="C18" t="str">
        <v>3402351210</v>
      </c>
      <c r="D18" t="str">
        <v>city</v>
      </c>
      <c r="E18" t="str">
        <v>pre-challenge</v>
      </c>
      <c r="F18">
        <v>0</v>
      </c>
      <c r="G18" t="str">
        <v>Old Man Rafferty's</v>
      </c>
      <c r="H18">
        <v>45098</v>
      </c>
      <c r="I18" t="str">
        <v>Old Man Rafferty's</v>
      </c>
      <c r="J18" t="str">
        <v>https://oldmanraffertys.com/</v>
      </c>
      <c r="K18" t="str">
        <v>https://en.wikipedia.org/wiki/New_Brunswick,_New_Jersey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North Brunswick</v>
      </c>
      <c r="B19" t="str">
        <v>Middlesex</v>
      </c>
      <c r="C19" t="str">
        <v>3402352560</v>
      </c>
      <c r="D19" t="str">
        <v>township</v>
      </c>
      <c r="E19" t="str">
        <v>pre-challenge</v>
      </c>
      <c r="F19">
        <v>0</v>
      </c>
      <c r="G19" t="str">
        <v>Bertucci's (now closed) - Raymond Patel Baptism</v>
      </c>
      <c r="H19">
        <v>41910</v>
      </c>
      <c r="I19">
        <v>0</v>
      </c>
      <c r="J19">
        <v>0</v>
      </c>
      <c r="K19" t="str">
        <v>https://en.wikipedia.org/wiki/North_Brunswick_Township,_New_Jersey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Old Bridge</v>
      </c>
      <c r="B20" t="str">
        <v>Middlesex</v>
      </c>
      <c r="C20" t="str">
        <v>3402354705</v>
      </c>
      <c r="D20" t="str">
        <v>township</v>
      </c>
      <c r="E20" t="str">
        <v>pre-challenge</v>
      </c>
      <c r="F20">
        <v>0</v>
      </c>
      <c r="G20" t="str">
        <v>Thai Thai</v>
      </c>
      <c r="H20">
        <v>45016</v>
      </c>
      <c r="I20" t="str">
        <v>Thai Streat</v>
      </c>
      <c r="J20" t="str">
        <v>https://www.thaistreat.com/</v>
      </c>
      <c r="K20" t="str">
        <v>https://en.wikipedia.org/wiki/Old_Bridge_Township,_New_Jersey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Perth Amboy</v>
      </c>
      <c r="B21" t="str">
        <v>Middlesex</v>
      </c>
      <c r="C21" t="str">
        <v>3402358200</v>
      </c>
      <c r="D21" t="str">
        <v>city</v>
      </c>
      <c r="E21" t="str">
        <v>queued</v>
      </c>
      <c r="F21">
        <v>216</v>
      </c>
      <c r="G21" t="str">
        <v>Se Salio de Pollo</v>
      </c>
      <c r="H21">
        <v>45501</v>
      </c>
      <c r="I21" t="str">
        <v>Se Salio El Pollo</v>
      </c>
      <c r="J21" t="str">
        <v>https://sesalioelpollonj.com/</v>
      </c>
      <c r="K21" t="str">
        <v>https://en.wikipedia.org/wiki/Perth_Amboy,_New_Jersey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Piscataway</v>
      </c>
      <c r="B22" t="str">
        <v>Middlesex</v>
      </c>
      <c r="C22" t="str">
        <v>3402359010</v>
      </c>
      <c r="D22" t="str">
        <v>township</v>
      </c>
      <c r="E22" t="str">
        <v>pre-challenge</v>
      </c>
      <c r="F22">
        <v>0</v>
      </c>
      <c r="G22" t="str">
        <v>Boodle Fight @ Pye's House</v>
      </c>
      <c r="H22">
        <v>43288</v>
      </c>
      <c r="I22">
        <v>0</v>
      </c>
      <c r="J22">
        <v>0</v>
      </c>
      <c r="K22" t="str">
        <v>https://en.wikipedia.org/wiki/Piscataway_Township,_New_Jersey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Plainsboro</v>
      </c>
      <c r="B23" t="str">
        <v>Middlesex</v>
      </c>
      <c r="C23" t="str">
        <v>3402359280</v>
      </c>
      <c r="D23" t="str">
        <v>township</v>
      </c>
      <c r="E23" t="str">
        <v>pre-challenge</v>
      </c>
      <c r="F23">
        <v>0</v>
      </c>
      <c r="G23" t="str">
        <v>Ruth's Chris - Mandi/Christine Birthday</v>
      </c>
      <c r="H23">
        <v>43484</v>
      </c>
      <c r="I23">
        <v>0</v>
      </c>
      <c r="J23">
        <v>0</v>
      </c>
      <c r="K23" t="str">
        <v>https://en.wikipedia.org/wiki/Plainsboro_Township,_New_Jersey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Sayreville</v>
      </c>
      <c r="B24" t="str">
        <v>Middlesex</v>
      </c>
      <c r="C24" t="str">
        <v>3402365790</v>
      </c>
      <c r="D24" t="str">
        <v>borough</v>
      </c>
      <c r="E24" t="str">
        <v>pre-challenge</v>
      </c>
      <c r="F24">
        <v>0</v>
      </c>
      <c r="G24" t="str">
        <v>Costa Verde - Lunch Pye &amp; Sean</v>
      </c>
      <c r="H24">
        <v>43477</v>
      </c>
      <c r="I24">
        <v>0</v>
      </c>
      <c r="J24">
        <v>0</v>
      </c>
      <c r="K24" t="str">
        <v>https://en.wikipedia.org/wiki/Sayreville,_New_Jersey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South Amboy</v>
      </c>
      <c r="B25" t="str">
        <v>Middlesex</v>
      </c>
      <c r="C25" t="str">
        <v>3402368550</v>
      </c>
      <c r="D25" t="str">
        <v>city</v>
      </c>
      <c r="E25" t="str">
        <v>visited</v>
      </c>
      <c r="F25">
        <v>92</v>
      </c>
      <c r="G25" t="str">
        <v>Raise The Bar</v>
      </c>
      <c r="H25">
        <v>45131</v>
      </c>
      <c r="I25" t="str">
        <v>Raise The Bar</v>
      </c>
      <c r="J25" t="str">
        <v>https://raisethebarnj.com/</v>
      </c>
      <c r="K25" t="str">
        <v>https://en.wikipedia.org/wiki/South_Amboy,_New_Jersey</v>
      </c>
      <c r="L25" t="str">
        <v>NJ Town #92: South Amboy</v>
      </c>
      <c r="M25" t="str">
        <v>https://www.instagram.com/p/DDuUI-IxkHG/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tr">
        <v>Town #92</v>
      </c>
      <c r="AM25" t="str">
        <v>https://www.instagram.com/p/DDuUI-IxkHG/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South Brunswick</v>
      </c>
      <c r="B26" t="str">
        <v>Middlesex</v>
      </c>
      <c r="C26" t="str">
        <v>3402368790</v>
      </c>
      <c r="D26" t="str">
        <v>township</v>
      </c>
      <c r="E26" t="str">
        <v>queued</v>
      </c>
      <c r="F26">
        <v>251</v>
      </c>
      <c r="G26" t="str">
        <v>Eno Terra Restaurant and Enoteca</v>
      </c>
      <c r="H26">
        <v>45628</v>
      </c>
      <c r="I26" t="str">
        <v>Eno Terra</v>
      </c>
      <c r="J26" t="str">
        <v>https://www.enoterra.com/</v>
      </c>
      <c r="K26" t="str">
        <v>https://en.wikipedia.org/wiki/South_Brunswick_Township,_New_Jersey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South Plainfield</v>
      </c>
      <c r="B27" t="str">
        <v>Middlesex</v>
      </c>
      <c r="C27" t="str">
        <v>3402369390</v>
      </c>
      <c r="D27" t="str">
        <v>borough</v>
      </c>
      <c r="E27" t="str">
        <v>pre-challenge</v>
      </c>
      <c r="F27">
        <v>0</v>
      </c>
      <c r="G27" t="str">
        <v>Panda Express</v>
      </c>
      <c r="H27">
        <v>44431</v>
      </c>
      <c r="I27" t="str">
        <v>Panda Express</v>
      </c>
      <c r="J27" t="str">
        <v>https://www.pandaexpress.com/</v>
      </c>
      <c r="K27" t="str">
        <v>https://en.wikipedia.org/wiki/South_Plainfield,_New_Jersey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South River</v>
      </c>
      <c r="B28" t="str">
        <v>Middlesex</v>
      </c>
      <c r="C28" t="str">
        <v>3402369420</v>
      </c>
      <c r="D28" t="str">
        <v>borough</v>
      </c>
      <c r="E28" t="str">
        <v>visited</v>
      </c>
      <c r="F28">
        <v>126</v>
      </c>
      <c r="G28" t="str">
        <v>The Portuguese Fisherman</v>
      </c>
      <c r="H28">
        <v>45218</v>
      </c>
      <c r="I28" t="str">
        <v>The Portuguese Fisherman</v>
      </c>
      <c r="J28" t="str">
        <v>https://portuguesefisherman.com/</v>
      </c>
      <c r="K28" t="str">
        <v>https://en.wikipedia.org/wiki/South_River,_New_Jersey</v>
      </c>
      <c r="L28" t="str">
        <v>NJ Town #126: South River</v>
      </c>
      <c r="M28" t="str">
        <v>https://www.instagram.com/p/DTVl0cWkdY0/</v>
      </c>
      <c r="N28" t="str">
        <v>NJ Town #126: Bonus Town Trivia</v>
      </c>
      <c r="O28" t="str">
        <v>https://www.instagram.com/p/DT-smhOEV3T/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t="str">
        <v>Town #126</v>
      </c>
      <c r="AM28" t="str">
        <v>https://www.instagram.com/p/DTVl0cWkdY0/</v>
      </c>
      <c r="AN28">
        <v>0</v>
      </c>
      <c r="AO28">
        <v>0</v>
      </c>
      <c r="AP28" t="str">
        <v>Town #126 - Bonus Town Trivia</v>
      </c>
      <c r="AQ28" t="str">
        <v>https://www.instagram.com/p/DT-smhOEV3T/?img_index=1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Spotswood</v>
      </c>
      <c r="B29" t="str">
        <v>Middlesex</v>
      </c>
      <c r="C29" t="str">
        <v>3402369810</v>
      </c>
      <c r="D29" t="str">
        <v>borough</v>
      </c>
      <c r="E29" t="str">
        <v>pre-challenge</v>
      </c>
      <c r="F29">
        <v>0</v>
      </c>
      <c r="G29" t="str">
        <v>MJ's Bar &amp; Grill</v>
      </c>
      <c r="H29">
        <v>43637</v>
      </c>
      <c r="I29" t="str">
        <v>MJ's Pizza Bar &amp; Grill</v>
      </c>
      <c r="J29" t="str">
        <v>https://www.mjsrestaurant.com/</v>
      </c>
      <c r="K29" t="str">
        <v>https://en.wikipedia.org/wiki/Spotswood,_New_Jersey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Woodbridge</v>
      </c>
      <c r="B30" t="str">
        <v>Middlesex</v>
      </c>
      <c r="C30" t="str">
        <v>3402382000</v>
      </c>
      <c r="D30" t="str">
        <v>township</v>
      </c>
      <c r="E30" t="str">
        <v>pre-challenge</v>
      </c>
      <c r="F30">
        <v>0</v>
      </c>
      <c r="G30" t="str">
        <v>Jose Tejas</v>
      </c>
      <c r="H30">
        <v>44934</v>
      </c>
      <c r="I30">
        <v>0</v>
      </c>
      <c r="J30">
        <v>0</v>
      </c>
      <c r="K30" t="str">
        <v>https://en.wikipedia.org/wiki/Woodbridge_Township,_New_Jersey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U58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1740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COUNTIF(Data!B$3:B$602,"Monmouth")</f>
        <v>53</v>
      </c>
      <c r="C2" s="19" t="s">
        <v>1724</v>
      </c>
      <c r="D2" s="32">
        <f>COUNTIFS(Data!B$3:B$602,"Monmouth",Data!E3:E602,"visited")+COUNTIFS(Data!B$3:B$602,"Monmouth",Data!E3:E602,"queued")+COUNTIFS(Data!B$3:B$602,"Monmouth",Data!E3:E602,"pre-challenge")</f>
        <v>44</v>
      </c>
      <c r="E2" s="20" t="s">
        <v>1725</v>
      </c>
      <c r="F2" s="33">
        <f>B2-D2</f>
        <v>9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58">_xlfn._xlws.FILTER(Data!A$3:AU$602,Data!B$3:B$602="Monmouth","")</f>
        <v>Aberdeen</v>
      </c>
      <c r="B6" t="str">
        <v>Monmouth</v>
      </c>
      <c r="C6" t="str">
        <v>3402500070</v>
      </c>
      <c r="D6" t="str">
        <v>township</v>
      </c>
      <c r="E6" t="str">
        <v>pre-challenge</v>
      </c>
      <c r="F6">
        <v>0</v>
      </c>
      <c r="G6" t="str">
        <v>Alternate Ending</v>
      </c>
      <c r="H6">
        <v>45042</v>
      </c>
      <c r="I6" t="str">
        <v>Alternate Ending Beer Co.</v>
      </c>
      <c r="J6" t="str">
        <v>https://www.alternateendingbeerco.com/</v>
      </c>
      <c r="K6" t="str">
        <v>https://en.wikipedia.org/wiki/Aberdeen_Township,_New_Jersey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Allenhurst</v>
      </c>
      <c r="B7" t="str">
        <v>Monmouth</v>
      </c>
      <c r="C7" t="str">
        <v>3402500730</v>
      </c>
      <c r="D7" t="str">
        <v>borough</v>
      </c>
      <c r="E7" t="str">
        <v>visited</v>
      </c>
      <c r="F7">
        <v>91</v>
      </c>
      <c r="G7" t="str">
        <v>Mister C's</v>
      </c>
      <c r="H7">
        <v>45122</v>
      </c>
      <c r="I7" t="str">
        <v>Mister C's Beach Bistro</v>
      </c>
      <c r="J7" t="str">
        <v>http://www.mistercsbeachbistro.com/</v>
      </c>
      <c r="K7" t="str">
        <v>https://en.wikipedia.org/wiki/Allenhurst,_New_Jersey</v>
      </c>
      <c r="L7" t="str">
        <v>NJ Town #91: Allenhurst</v>
      </c>
      <c r="M7" t="str">
        <v>https://www.instagram.com/p/DDk5FqqxJAT/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tr">
        <v>Town #91</v>
      </c>
      <c r="AM7" t="str">
        <v>https://www.instagram.com/p/DDk5FqqxJAT/?img_index=1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Allentown</v>
      </c>
      <c r="B8" t="str">
        <v>Monmouth</v>
      </c>
      <c r="C8" t="str">
        <v>3402500760</v>
      </c>
      <c r="D8" t="str">
        <v>borough</v>
      </c>
      <c r="E8" t="str">
        <v>visited</v>
      </c>
      <c r="F8">
        <v>96</v>
      </c>
      <c r="G8" t="str">
        <v>Woody's Towne Café</v>
      </c>
      <c r="H8">
        <v>45143</v>
      </c>
      <c r="I8" t="str">
        <v>Woody's Towne Cafe</v>
      </c>
      <c r="J8">
        <v>0</v>
      </c>
      <c r="K8" t="str">
        <v>https://en.wikipedia.org/wiki/Allentown,_New_Jersey</v>
      </c>
      <c r="L8" t="str">
        <v>NJ Town #96: Allentown</v>
      </c>
      <c r="M8" t="str">
        <v>https://www.instagram.com/p/DEnQVmrxshl/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tr">
        <v>Town #96</v>
      </c>
      <c r="AM8" t="str">
        <v>https://www.instagram.com/p/DEnQVmrxshl/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Asbury Park</v>
      </c>
      <c r="B9" t="str">
        <v>Monmouth</v>
      </c>
      <c r="C9" t="str">
        <v>3402501960</v>
      </c>
      <c r="D9" t="str">
        <v>city</v>
      </c>
      <c r="E9" t="str">
        <v>pre-challenge</v>
      </c>
      <c r="F9">
        <v>0</v>
      </c>
      <c r="G9" t="str">
        <v>Pascal &amp; Sabine</v>
      </c>
      <c r="H9">
        <v>44970</v>
      </c>
      <c r="I9" t="str">
        <v>Pascal &amp; Sabine</v>
      </c>
      <c r="J9" t="str">
        <v>https://www.pascalandsabine.com/</v>
      </c>
      <c r="K9" t="str">
        <v>https://en.wikipedia.org/wiki/Asbury_Park,_New_Jersey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Atlantic Highlands</v>
      </c>
      <c r="B10" t="str">
        <v>Monmouth</v>
      </c>
      <c r="C10" t="str">
        <v>3402502110</v>
      </c>
      <c r="D10" t="str">
        <v>borough</v>
      </c>
      <c r="E10" t="str">
        <v>visited</v>
      </c>
      <c r="F10">
        <v>89</v>
      </c>
      <c r="G10" t="str">
        <v>On The Deck</v>
      </c>
      <c r="H10">
        <v>45121</v>
      </c>
      <c r="I10" t="str">
        <v>On The Deck</v>
      </c>
      <c r="J10" t="str">
        <v>https://www.onthedeckrestaurant.com/</v>
      </c>
      <c r="K10" t="str">
        <v>https://en.wikipedia.org/wiki/Atlantic_Highlands,_New_Jersey</v>
      </c>
      <c r="L10" t="str">
        <v>NJ Town #89: Atlantic Highlands</v>
      </c>
      <c r="M10" t="str">
        <v>https://www.instagram.com/p/DDV4lsBxiYH/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t="str">
        <v>Town #89</v>
      </c>
      <c r="AM10" t="str">
        <v>https://www.instagram.com/p/DDV4lsBxiYH/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Avon-by-the-Sea</v>
      </c>
      <c r="B11" t="str">
        <v>Monmouth</v>
      </c>
      <c r="C11" t="str">
        <v>3402502440</v>
      </c>
      <c r="D11" t="str">
        <v>borough</v>
      </c>
      <c r="E11" t="str">
        <v>visited</v>
      </c>
      <c r="F11">
        <v>104</v>
      </c>
      <c r="G11" t="str">
        <v>The Columns</v>
      </c>
      <c r="H11">
        <v>45156</v>
      </c>
      <c r="I11" t="str">
        <v>The Columns</v>
      </c>
      <c r="J11" t="str">
        <v>https://thecolumnsnj.com/</v>
      </c>
      <c r="K11" t="str">
        <v>https://en.wikipedia.org/wiki/Avon-by-the-Sea,_New_Jersey</v>
      </c>
      <c r="L11" t="str">
        <v>NJ Town #104: Avon-by-the-Sea</v>
      </c>
      <c r="M11" t="str">
        <v>https://www.instagram.com/p/DF0YLZfxU-q/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t="str">
        <v>Town #104</v>
      </c>
      <c r="AM11" t="str">
        <v>https://www.instagram.com/p/DF0YLZfxU-q/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Belmar</v>
      </c>
      <c r="B12" t="str">
        <v>Monmouth</v>
      </c>
      <c r="C12" t="str">
        <v>3402504930</v>
      </c>
      <c r="D12" t="str">
        <v>borough</v>
      </c>
      <c r="E12" t="str">
        <v>pre-challenge</v>
      </c>
      <c r="F12">
        <v>0</v>
      </c>
      <c r="G12" t="str">
        <v>Flames Brazillian Steakhouse</v>
      </c>
      <c r="H12">
        <v>44940</v>
      </c>
      <c r="I12" t="str">
        <v>Flames Brazilian Steakhouse</v>
      </c>
      <c r="J12" t="str">
        <v>http://flamesbraziliansteakhouse.com/</v>
      </c>
      <c r="K12" t="str">
        <v>https://en.wikipedia.org/wiki/Belmar,_New_Jersey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Bradley Beach</v>
      </c>
      <c r="B13" t="str">
        <v>Monmouth</v>
      </c>
      <c r="C13" t="str">
        <v>3402506970</v>
      </c>
      <c r="D13" t="str">
        <v>borough</v>
      </c>
      <c r="E13" t="str">
        <v>queued</v>
      </c>
      <c r="F13">
        <v>257</v>
      </c>
      <c r="G13" t="str">
        <v>Hatch 44</v>
      </c>
      <c r="H13">
        <v>45655</v>
      </c>
      <c r="I13" t="str">
        <v>Hatch 44</v>
      </c>
      <c r="J13" t="str">
        <v>https://www.hatch44cafe.com/</v>
      </c>
      <c r="K13" t="str">
        <v>https://en.wikipedia.org/wiki/Bradley_Beach,_New_Jersey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Brielle</v>
      </c>
      <c r="B14" t="str">
        <v>Monmouth</v>
      </c>
      <c r="C14" t="str">
        <v>3402507750</v>
      </c>
      <c r="D14" t="str">
        <v>borough</v>
      </c>
      <c r="E14" t="str">
        <v>visited</v>
      </c>
      <c r="F14">
        <v>110</v>
      </c>
      <c r="G14" t="str">
        <v>Waypoint 622</v>
      </c>
      <c r="H14">
        <v>45171</v>
      </c>
      <c r="I14" t="str">
        <v>Waypoint 622</v>
      </c>
      <c r="J14" t="str">
        <v>https://www.waypoint622.com/</v>
      </c>
      <c r="K14" t="str">
        <v>https://en.wikipedia.org/wiki/Brielle,_New_Jersey</v>
      </c>
      <c r="L14" t="str">
        <v>NJ Town #110: Brielle</v>
      </c>
      <c r="M14" t="str">
        <v>https://www.instagram.com/p/DHjkZkOR_7P/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t="str">
        <v>Town #110</v>
      </c>
      <c r="AM14" t="str">
        <v>https://www.instagram.com/p/DHjkZkOR_7P/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Colts Neck</v>
      </c>
      <c r="B15" t="str">
        <v>Monmouth</v>
      </c>
      <c r="C15" t="str">
        <v>3402514560</v>
      </c>
      <c r="D15" t="str">
        <v>township</v>
      </c>
      <c r="E15" t="str">
        <v>visited</v>
      </c>
      <c r="F15">
        <v>90</v>
      </c>
      <c r="G15" t="str">
        <v>Colts Neck Eatery</v>
      </c>
      <c r="H15">
        <v>45122</v>
      </c>
      <c r="I15" t="str">
        <v>Colts Neck Eatery</v>
      </c>
      <c r="J15" t="str">
        <v>https://www.coltsneckeaterynj.com/</v>
      </c>
      <c r="K15" t="str">
        <v>https://en.wikipedia.org/wiki/Colts_Neck_Township,_New_Jersey</v>
      </c>
      <c r="L15" t="str">
        <v>NJ Town #90: Colts Neck</v>
      </c>
      <c r="M15" t="str">
        <v>https://www.instagram.com/p/DDbCxLgRuSh/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t="str">
        <v>Town #90</v>
      </c>
      <c r="AM15" t="str">
        <v>https://www.instagram.com/p/DDbCxLgRuSh/?img_index=1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Deal</v>
      </c>
      <c r="B16" t="str">
        <v>Monmouth</v>
      </c>
      <c r="C16" t="str">
        <v>3402516660</v>
      </c>
      <c r="D16" t="str">
        <v>borough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https://en.wikipedia.org/wiki/Deal,_New_Jersey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Eatontown</v>
      </c>
      <c r="B17" t="str">
        <v>Monmouth</v>
      </c>
      <c r="C17" t="str">
        <v>3402519840</v>
      </c>
      <c r="D17" t="str">
        <v>borough</v>
      </c>
      <c r="E17" t="str">
        <v>pre-challenge</v>
      </c>
      <c r="F17">
        <v>0</v>
      </c>
      <c r="G17" t="str">
        <v>Bobby's Burger Palace</v>
      </c>
      <c r="H17">
        <v>43831</v>
      </c>
      <c r="I17">
        <v>0</v>
      </c>
      <c r="J17">
        <v>0</v>
      </c>
      <c r="K17" t="str">
        <v>https://en.wikipedia.org/wiki/Eatontown,_New_Jersey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Englishtown</v>
      </c>
      <c r="B18" t="str">
        <v>Monmouth</v>
      </c>
      <c r="C18" t="str">
        <v>3402521570</v>
      </c>
      <c r="D18" t="str">
        <v>borough</v>
      </c>
      <c r="E18" t="str">
        <v>visited</v>
      </c>
      <c r="F18">
        <v>103</v>
      </c>
      <c r="G18" t="str">
        <v>Cholulas</v>
      </c>
      <c r="H18">
        <v>45154</v>
      </c>
      <c r="I18" t="str">
        <v>Cholula Restaurant</v>
      </c>
      <c r="J18" t="str">
        <v>https://cholularestaurantenglishtown.com/</v>
      </c>
      <c r="K18" t="str">
        <v>https://en.wikipedia.org/wiki/Englishtown,_New_Jersey</v>
      </c>
      <c r="L18" t="str">
        <v>NJ Town #103: Englishtown</v>
      </c>
      <c r="M18" t="str">
        <v>https://www.instagram.com/p/DFeKuO5vXpB/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t="str">
        <v>Town #103</v>
      </c>
      <c r="AM18" t="str">
        <v>https://www.instagram.com/p/DFeKuO5vXpB/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Fair Haven</v>
      </c>
      <c r="B19" t="str">
        <v>Monmouth</v>
      </c>
      <c r="C19" t="str">
        <v>3402522440</v>
      </c>
      <c r="D19" t="str">
        <v>borough</v>
      </c>
      <c r="E19" t="str">
        <v>queued</v>
      </c>
      <c r="F19">
        <v>176</v>
      </c>
      <c r="G19" t="str">
        <v>Over Easy Kitchen</v>
      </c>
      <c r="H19">
        <v>45333</v>
      </c>
      <c r="I19" t="str">
        <v>Over Easy Kitchen</v>
      </c>
      <c r="J19" t="str">
        <v>https://www.overeasykitchen.com/</v>
      </c>
      <c r="K19" t="str">
        <v>https://en.wikipedia.org/wiki/Fair_Haven,_New_Jersey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Farmingdale</v>
      </c>
      <c r="B20" t="str">
        <v>Monmouth</v>
      </c>
      <c r="C20" t="str">
        <v>3402522950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https://en.wikipedia.org/wiki/Farmingdale,_New_Jersey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Freehold</v>
      </c>
      <c r="B21" t="str">
        <v>Monmouth</v>
      </c>
      <c r="C21" t="str">
        <v>3402525200</v>
      </c>
      <c r="D21" t="str">
        <v>borough</v>
      </c>
      <c r="E21" t="str">
        <v>pre-challenge</v>
      </c>
      <c r="F21">
        <v>0</v>
      </c>
      <c r="G21" t="str">
        <v>Metropolian Café</v>
      </c>
      <c r="H21">
        <v>44807</v>
      </c>
      <c r="I21" t="str">
        <v>Metropolitan Café</v>
      </c>
      <c r="J21" t="str">
        <v>https://www.metrocafenj.com/</v>
      </c>
      <c r="K21" t="str">
        <v>https://en.wikipedia.org/wiki/Freehold,_New_Jersey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Freehold</v>
      </c>
      <c r="B22" t="str">
        <v>Monmouth</v>
      </c>
      <c r="C22" t="str">
        <v>3402525230</v>
      </c>
      <c r="D22" t="str">
        <v>township</v>
      </c>
      <c r="E22" t="str">
        <v>pre-challenge</v>
      </c>
      <c r="F22">
        <v>0</v>
      </c>
      <c r="G22" t="str">
        <v>Bobby's Burger Palace</v>
      </c>
      <c r="H22">
        <v>43731</v>
      </c>
      <c r="I22">
        <v>0</v>
      </c>
      <c r="J22">
        <v>0</v>
      </c>
      <c r="K22" t="str">
        <v>https://en.wikipedia.org/wiki/Freehold_Township,_New_Jersey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Hazlet</v>
      </c>
      <c r="B23" t="str">
        <v>Monmouth</v>
      </c>
      <c r="C23" t="str">
        <v>3402530690</v>
      </c>
      <c r="D23" t="str">
        <v>township</v>
      </c>
      <c r="E23" t="str">
        <v>pre-challenge</v>
      </c>
      <c r="F23">
        <v>0</v>
      </c>
      <c r="G23" t="str">
        <v>Tropical Hut Express</v>
      </c>
      <c r="H23">
        <v>45017</v>
      </c>
      <c r="I23" t="str">
        <v>Tropical Hut Express</v>
      </c>
      <c r="J23" t="str">
        <v>https://www.tropicalhutexpress.com/</v>
      </c>
      <c r="K23" t="str">
        <v>https://en.wikipedia.org/wiki/Hazlet_Township,_New_Jersey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Highlands</v>
      </c>
      <c r="B24" t="str">
        <v>Monmouth</v>
      </c>
      <c r="C24" t="str">
        <v>3402531500</v>
      </c>
      <c r="D24" t="str">
        <v>borough</v>
      </c>
      <c r="E24" t="str">
        <v>pre-challenge</v>
      </c>
      <c r="F24">
        <v>0</v>
      </c>
      <c r="G24" t="str">
        <v>Bahr's Landing</v>
      </c>
      <c r="H24">
        <v>45100</v>
      </c>
      <c r="I24" t="str">
        <v>Bahr's Landing</v>
      </c>
      <c r="J24" t="str">
        <v>https://bahrslanding.com/</v>
      </c>
      <c r="K24" t="str">
        <v>https://en.wikipedia.org/wiki/Highlands,_New_Jersey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Holmdel</v>
      </c>
      <c r="B25" t="str">
        <v>Monmouth</v>
      </c>
      <c r="C25" t="str">
        <v>3402532640</v>
      </c>
      <c r="D25" t="str">
        <v>township</v>
      </c>
      <c r="E25" t="str">
        <v>pre-challenge</v>
      </c>
      <c r="F25">
        <v>0</v>
      </c>
      <c r="G25" t="str">
        <v>Fox Hollow Vineyards</v>
      </c>
      <c r="H25">
        <v>45073</v>
      </c>
      <c r="I25" t="str">
        <v>Fox Hollow Vineyards</v>
      </c>
      <c r="J25" t="str">
        <v>https://www.foxhollowvineyard.com/</v>
      </c>
      <c r="K25" t="str">
        <v>https://en.wikipedia.org/wiki/Holmdel_Township,_New_Jersey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Howell</v>
      </c>
      <c r="B26" t="str">
        <v>Monmouth</v>
      </c>
      <c r="C26" t="str">
        <v>3402533300</v>
      </c>
      <c r="D26" t="str">
        <v>township</v>
      </c>
      <c r="E26" t="str">
        <v>pre-challenge</v>
      </c>
      <c r="F26">
        <v>0</v>
      </c>
      <c r="G26" t="str">
        <v>Chapter House</v>
      </c>
      <c r="H26">
        <v>42681</v>
      </c>
      <c r="I26" t="str">
        <v>Chapter House</v>
      </c>
      <c r="J26" t="str">
        <v>https://route9community.com/chapter-house-bar-grill/</v>
      </c>
      <c r="K26" t="str">
        <v>https://en.wikipedia.org/wiki/Howell_Township,_New_Jersey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Interlaken</v>
      </c>
      <c r="B27" t="str">
        <v>Monmouth</v>
      </c>
      <c r="C27" t="str">
        <v>3402534200</v>
      </c>
      <c r="D27" t="str">
        <v>borough</v>
      </c>
      <c r="E27" t="str">
        <v>unvisited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https://en.wikipedia.org/wiki/Interlaken,_New_Jersey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Keansburg</v>
      </c>
      <c r="B28" t="str">
        <v>Monmouth</v>
      </c>
      <c r="C28" t="str">
        <v>3402536480</v>
      </c>
      <c r="D28" t="str">
        <v>borough</v>
      </c>
      <c r="E28" t="str">
        <v>queued</v>
      </c>
      <c r="F28">
        <v>223</v>
      </c>
      <c r="G28" t="str">
        <v>The Beach Gallery</v>
      </c>
      <c r="H28">
        <v>45528</v>
      </c>
      <c r="I28">
        <v>0</v>
      </c>
      <c r="J28">
        <v>0</v>
      </c>
      <c r="K28" t="str">
        <v>https://en.wikipedia.org/wiki/Keansburg,_New_Jersey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Keyport</v>
      </c>
      <c r="B29" t="str">
        <v>Monmouth</v>
      </c>
      <c r="C29" t="str">
        <v>3402536810</v>
      </c>
      <c r="D29" t="str">
        <v>borough</v>
      </c>
      <c r="E29" t="str">
        <v>pre-challenge</v>
      </c>
      <c r="F29">
        <v>0</v>
      </c>
      <c r="G29" t="str">
        <v>Lenora's Café</v>
      </c>
      <c r="H29">
        <v>44983</v>
      </c>
      <c r="I29" t="str">
        <v>Lenora's Café</v>
      </c>
      <c r="J29" t="str">
        <v>https://lenorascafenj.com/</v>
      </c>
      <c r="K29" t="str">
        <v>https://en.wikipedia.org/wiki/Keyport,_New_Jersey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Lake Como</v>
      </c>
      <c r="B30" t="str">
        <v>Monmouth</v>
      </c>
      <c r="C30" t="str">
        <v>3402537560</v>
      </c>
      <c r="D30" t="str">
        <v>borough</v>
      </c>
      <c r="E30" t="str">
        <v>unvisited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https://en.wikipedia.org/wiki/Lake_Como,_New_Jersey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Little Silver</v>
      </c>
      <c r="B31" t="str">
        <v>Monmouth</v>
      </c>
      <c r="C31" t="str">
        <v>3402540770</v>
      </c>
      <c r="D31" t="str">
        <v>borough</v>
      </c>
      <c r="E31" t="str">
        <v>unvisited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https://en.wikipedia.org/wiki/Little_Silver,_New_Jersey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t="str">
        <v>Loch Arbour</v>
      </c>
      <c r="B32" t="str">
        <v>Monmouth</v>
      </c>
      <c r="C32" t="str">
        <v>3402541010</v>
      </c>
      <c r="D32" t="str">
        <v>village</v>
      </c>
      <c r="E32" t="str">
        <v>queued</v>
      </c>
      <c r="F32">
        <v>208</v>
      </c>
      <c r="G32" t="str">
        <v>Deal Lake Bar &amp; Co</v>
      </c>
      <c r="H32">
        <v>45110</v>
      </c>
      <c r="I32" t="str">
        <v>Deal Lake Bar + Co.</v>
      </c>
      <c r="J32" t="str">
        <v>https://www.deallakebarco.com/</v>
      </c>
      <c r="K32" t="str">
        <v>https://en.wikipedia.org/wiki/Loch_Arbour,_New_Jersey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t="str">
        <v>Long Branch</v>
      </c>
      <c r="B33" t="str">
        <v>Monmouth</v>
      </c>
      <c r="C33" t="str">
        <v>3402541310</v>
      </c>
      <c r="D33" t="str">
        <v>city</v>
      </c>
      <c r="E33" t="str">
        <v>pre-challenge</v>
      </c>
      <c r="F33">
        <v>0</v>
      </c>
      <c r="G33" t="str">
        <v>Avenue le Club</v>
      </c>
      <c r="H33">
        <v>44373</v>
      </c>
      <c r="I33" t="str">
        <v>Avenue</v>
      </c>
      <c r="J33" t="str">
        <v>https://www.avenuelongbranch.com/</v>
      </c>
      <c r="K33" t="str">
        <v>https://en.wikipedia.org/wiki/Long_Branch,_New_Jersey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t="str">
        <v>Manalapan</v>
      </c>
      <c r="B34" t="str">
        <v>Monmouth</v>
      </c>
      <c r="C34" t="str">
        <v>3402542990</v>
      </c>
      <c r="D34" t="str">
        <v>township</v>
      </c>
      <c r="E34" t="str">
        <v>pre-challenge</v>
      </c>
      <c r="F34">
        <v>0</v>
      </c>
      <c r="G34" t="str">
        <v>Peking Pavillion</v>
      </c>
      <c r="H34">
        <v>44976</v>
      </c>
      <c r="I34" t="str">
        <v>Peking Pavilion</v>
      </c>
      <c r="J34" t="str">
        <v>https://pekingpavilion.com/</v>
      </c>
      <c r="K34" t="str">
        <v>https://en.wikipedia.org/wiki/Manalapan_Township,_New_Jersey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t="str">
        <v>Manasquan</v>
      </c>
      <c r="B35" t="str">
        <v>Monmouth</v>
      </c>
      <c r="C35" t="str">
        <v>3402543050</v>
      </c>
      <c r="D35" t="str">
        <v>borough</v>
      </c>
      <c r="E35" t="str">
        <v>pre-challenge</v>
      </c>
      <c r="F35">
        <v>0</v>
      </c>
      <c r="G35" t="str">
        <v>BBQ at Cousin Phil's House</v>
      </c>
      <c r="H35">
        <v>42595</v>
      </c>
      <c r="I35">
        <v>0</v>
      </c>
      <c r="J35">
        <v>0</v>
      </c>
      <c r="K35" t="str">
        <v>https://en.wikipedia.org/wiki/Manasquan,_New_Jersey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">
      <c r="A36" t="str">
        <v>Marlboro</v>
      </c>
      <c r="B36" t="str">
        <v>Monmouth</v>
      </c>
      <c r="C36" t="str">
        <v>3402544070</v>
      </c>
      <c r="D36" t="str">
        <v>township</v>
      </c>
      <c r="E36" t="str">
        <v>pre-challenge</v>
      </c>
      <c r="F36">
        <v>0</v>
      </c>
      <c r="G36" t="str">
        <v>Tio's Tacos + Tequila Bar</v>
      </c>
      <c r="H36">
        <v>44953</v>
      </c>
      <c r="I36" t="str">
        <v>Tio Taco + Tequila Bar</v>
      </c>
      <c r="J36" t="str">
        <v>https://www.tiotacotequila.com/</v>
      </c>
      <c r="K36" t="str">
        <v>https://en.wikipedia.org/wiki/Marlboro_Township,_New_Jersey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tr">
        <v>Matawan</v>
      </c>
      <c r="B37" t="str">
        <v>Monmouth</v>
      </c>
      <c r="C37" t="str">
        <v>3402544520</v>
      </c>
      <c r="D37" t="str">
        <v>borough</v>
      </c>
      <c r="E37" t="str">
        <v>pre-challenge</v>
      </c>
      <c r="F37">
        <v>0</v>
      </c>
      <c r="G37" t="str">
        <v>Maloney's</v>
      </c>
      <c r="H37">
        <v>45009</v>
      </c>
      <c r="I37" t="str">
        <v>Maloney's Pub</v>
      </c>
      <c r="J37" t="str">
        <v>https://www.maloneyspubnj.com/</v>
      </c>
      <c r="K37" t="str">
        <v>https://en.wikipedia.org/wiki/Matawan,_New_Jersey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t="str">
        <v>Middletown</v>
      </c>
      <c r="B38" t="str">
        <v>Monmouth</v>
      </c>
      <c r="C38" t="str">
        <v>3402545990</v>
      </c>
      <c r="D38" t="str">
        <v>township</v>
      </c>
      <c r="E38" t="str">
        <v>pre-challenge</v>
      </c>
      <c r="F38">
        <v>0</v>
      </c>
      <c r="G38" t="str">
        <v>Nicholas Barrel &amp; Roost</v>
      </c>
      <c r="H38">
        <v>43511</v>
      </c>
      <c r="I38" t="str">
        <v>Nicholas Barrel &amp; Roost</v>
      </c>
      <c r="J38" t="str">
        <v>https://www.barrelandroost.com/</v>
      </c>
      <c r="K38" t="str">
        <v>https://en.wikipedia.org/wiki/Middletown_Township,_New_Jersey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">
      <c r="A39" t="str">
        <v>Millstone</v>
      </c>
      <c r="B39" t="str">
        <v>Monmouth</v>
      </c>
      <c r="C39" t="str">
        <v>3402546560</v>
      </c>
      <c r="D39" t="str">
        <v>township</v>
      </c>
      <c r="E39" t="str">
        <v>pre-challenge</v>
      </c>
      <c r="F39">
        <v>0</v>
      </c>
      <c r="G39" t="str">
        <v>Dairy Queen</v>
      </c>
      <c r="H39">
        <v>42931</v>
      </c>
      <c r="I39">
        <v>0</v>
      </c>
      <c r="J39">
        <v>0</v>
      </c>
      <c r="K39" t="str">
        <v>https://en.wikipedia.org/wiki/Millstone_Township,_Monmouth_County,_New_Jersey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">
      <c r="A40" t="str">
        <v>Monmouth Beach</v>
      </c>
      <c r="B40" t="str">
        <v>Monmouth</v>
      </c>
      <c r="C40" t="str">
        <v>3402547130</v>
      </c>
      <c r="D40" t="str">
        <v>borough</v>
      </c>
      <c r="E40" t="str">
        <v>pre-challenge</v>
      </c>
      <c r="F40">
        <v>0</v>
      </c>
      <c r="G40" t="str">
        <v>Friend's Birthday Party</v>
      </c>
      <c r="H40">
        <v>42182</v>
      </c>
      <c r="I40">
        <v>0</v>
      </c>
      <c r="J40">
        <v>0</v>
      </c>
      <c r="K40" t="str">
        <v>https://en.wikipedia.org/wiki/Monmouth_Beach,_New_Jersey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">
      <c r="A41" t="str">
        <v>Neptune</v>
      </c>
      <c r="B41" t="str">
        <v>Monmouth</v>
      </c>
      <c r="C41" t="str">
        <v>3402549890</v>
      </c>
      <c r="D41" t="str">
        <v>township</v>
      </c>
      <c r="E41" t="str">
        <v>pre-challenge</v>
      </c>
      <c r="F41">
        <v>0</v>
      </c>
      <c r="G41" t="str">
        <v>Brick House Tavern &amp; Tap</v>
      </c>
      <c r="H41">
        <v>42973</v>
      </c>
      <c r="I41" t="str">
        <v>Brick House Tavern + Tap</v>
      </c>
      <c r="J41" t="str">
        <v>https://www.brickhousetavernandtap.com/location/brick-house-tavern-and-tap-neptune-nj/</v>
      </c>
      <c r="K41" t="str">
        <v>https://en.wikipedia.org/wiki/Neptune_Township,_New_Jersey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">
      <c r="A42" t="str">
        <v>Neptune City</v>
      </c>
      <c r="B42" t="str">
        <v>Monmouth</v>
      </c>
      <c r="C42" t="str">
        <v>3402549920</v>
      </c>
      <c r="D42" t="str">
        <v>borough</v>
      </c>
      <c r="E42" t="str">
        <v>pre-challenge</v>
      </c>
      <c r="F42">
        <v>0</v>
      </c>
      <c r="G42" t="str">
        <v>Pete &amp; Elda's Bar</v>
      </c>
      <c r="H42">
        <v>43470</v>
      </c>
      <c r="I42" t="str">
        <v>Pete &amp; Elda's Bar / Carmen's Pizzeria</v>
      </c>
      <c r="J42" t="str">
        <v>https://peteandeldas.com/</v>
      </c>
      <c r="K42" t="str">
        <v>https://en.wikipedia.org/wiki/Neptune_City,_New_Jersey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">
      <c r="A43" t="str">
        <v>Ocean</v>
      </c>
      <c r="B43" t="str">
        <v>Monmouth</v>
      </c>
      <c r="C43" t="str">
        <v>3402554270</v>
      </c>
      <c r="D43" t="str">
        <v>township</v>
      </c>
      <c r="E43" t="str">
        <v>pre-challenge</v>
      </c>
      <c r="F43">
        <v>0</v>
      </c>
      <c r="G43" t="str">
        <v>Blue Swan Diner</v>
      </c>
      <c r="H43">
        <v>43829</v>
      </c>
      <c r="I43" t="str">
        <v>Blue Swan Diner</v>
      </c>
      <c r="J43" t="str">
        <v>https://www.blueswandiner.com/</v>
      </c>
      <c r="K43" t="str">
        <v>https://en.wikipedia.org/wiki/Ocean_Township,_Monmouth_County,_New_Jersey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">
      <c r="A44" t="str">
        <v>Oceanport</v>
      </c>
      <c r="B44" t="str">
        <v>Monmouth</v>
      </c>
      <c r="C44" t="str">
        <v>3402554570</v>
      </c>
      <c r="D44" t="str">
        <v>borough</v>
      </c>
      <c r="E44" t="str">
        <v>visited</v>
      </c>
      <c r="F44">
        <v>117</v>
      </c>
      <c r="G44" t="str">
        <v>The Blu Grotto (with the Nerds)</v>
      </c>
      <c r="H44">
        <v>45183</v>
      </c>
      <c r="I44" t="str">
        <v>Blu Grotto Restaurant</v>
      </c>
      <c r="J44" t="str">
        <v>https://www.blugrottorestaurant.com/</v>
      </c>
      <c r="K44" t="str">
        <v>https://en.wikipedia.org/wiki/Oceanport,_New_Jersey</v>
      </c>
      <c r="L44" t="str">
        <v>NJ Town #117: Oceanport</v>
      </c>
      <c r="M44" t="str">
        <v>https://www.instagram.com/p/DLkqHGKxgPY/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t="str">
        <v>Town #117</v>
      </c>
      <c r="AM44" t="str">
        <v>https://www.instagram.com/p/DLkqHGKxgPY/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2">
      <c r="A45" t="str">
        <v>Red Bank</v>
      </c>
      <c r="B45" t="str">
        <v>Monmouth</v>
      </c>
      <c r="C45" t="str">
        <v>3402562430</v>
      </c>
      <c r="D45" t="str">
        <v>borough</v>
      </c>
      <c r="E45" t="str">
        <v>pre-challenge</v>
      </c>
      <c r="F45">
        <v>0</v>
      </c>
      <c r="G45" t="str">
        <v>Char Steakhouse</v>
      </c>
      <c r="H45">
        <v>44487</v>
      </c>
      <c r="I45" t="str">
        <v>Char Steakhouse</v>
      </c>
      <c r="J45" t="str">
        <v>https://charsteakhouse.com/</v>
      </c>
      <c r="K45" t="str">
        <v>https://en.wikipedia.org/wiki/Red_Bank,_New_Jersey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  <row r="46" spans="1:47" x14ac:dyDescent="0.2">
      <c r="A46" t="str">
        <v>Roosevelt</v>
      </c>
      <c r="B46" t="str">
        <v>Monmouth</v>
      </c>
      <c r="C46" t="str">
        <v>3402564410</v>
      </c>
      <c r="D46" t="str">
        <v>borough</v>
      </c>
      <c r="E46" t="str">
        <v>unvisited</v>
      </c>
      <c r="F46">
        <v>0</v>
      </c>
      <c r="G46">
        <v>0</v>
      </c>
      <c r="H46">
        <v>0</v>
      </c>
      <c r="I46">
        <v>0</v>
      </c>
      <c r="J46">
        <v>0</v>
      </c>
      <c r="K46" t="str">
        <v>https://en.wikipedia.org/wiki/Roosevelt,_New_Jersey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2">
      <c r="A47" t="str">
        <v>Rumson</v>
      </c>
      <c r="B47" t="str">
        <v>Monmouth</v>
      </c>
      <c r="C47" t="str">
        <v>3402565130</v>
      </c>
      <c r="D47" t="str">
        <v>borough</v>
      </c>
      <c r="E47" t="str">
        <v>visited</v>
      </c>
      <c r="F47">
        <v>108</v>
      </c>
      <c r="G47" t="str">
        <v>The French Market</v>
      </c>
      <c r="H47">
        <v>45165</v>
      </c>
      <c r="I47" t="str">
        <v>The French Market</v>
      </c>
      <c r="J47" t="str">
        <v>https://www.thefrenchmarketnj.com/</v>
      </c>
      <c r="K47" t="str">
        <v>https://en.wikipedia.org/wiki/Rumson,_New_Jersey</v>
      </c>
      <c r="L47" t="str">
        <v>NJ Town #108: Rumson</v>
      </c>
      <c r="M47" t="str">
        <v>https://www.instagram.com/p/DG3595cRolx/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t="str">
        <v>Town #108</v>
      </c>
      <c r="AM47" t="str">
        <v>https://www.instagram.com/p/DG3595cRolx/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2">
      <c r="A48" t="str">
        <v>Sea Bright</v>
      </c>
      <c r="B48" t="str">
        <v>Monmouth</v>
      </c>
      <c r="C48" t="str">
        <v>3402566240</v>
      </c>
      <c r="D48" t="str">
        <v>borough</v>
      </c>
      <c r="E48" t="str">
        <v>pre-challenge</v>
      </c>
      <c r="F48">
        <v>0</v>
      </c>
      <c r="G48" t="str">
        <v>Rum Runner</v>
      </c>
      <c r="H48">
        <v>44607</v>
      </c>
      <c r="I48" t="str">
        <v>The Rum Runner</v>
      </c>
      <c r="J48" t="str">
        <v>https://www.mcloonesrumrunner.com/</v>
      </c>
      <c r="K48" t="str">
        <v>https://en.wikipedia.org/wiki/Sea_Bright,_New_Jersey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2">
      <c r="A49" t="str">
        <v>Sea Girt</v>
      </c>
      <c r="B49" t="str">
        <v>Monmouth</v>
      </c>
      <c r="C49" t="str">
        <v>3402566330</v>
      </c>
      <c r="D49" t="str">
        <v>borough</v>
      </c>
      <c r="E49" t="str">
        <v>queued</v>
      </c>
      <c r="F49">
        <v>226</v>
      </c>
      <c r="G49" t="str">
        <v>The Parker House</v>
      </c>
      <c r="H49">
        <v>45532</v>
      </c>
      <c r="I49" t="str">
        <v>Parker House</v>
      </c>
      <c r="J49" t="str">
        <v>https://parkerhousenj.com/</v>
      </c>
      <c r="K49" t="str">
        <v>https://en.wikipedia.org/wiki/Sea_Girt,_New_Jersey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</row>
    <row r="50" spans="1:47" x14ac:dyDescent="0.2">
      <c r="A50" t="str">
        <v>Shrewsbury</v>
      </c>
      <c r="B50" t="str">
        <v>Monmouth</v>
      </c>
      <c r="C50" t="str">
        <v>3402567350</v>
      </c>
      <c r="D50" t="str">
        <v>borough</v>
      </c>
      <c r="E50" t="str">
        <v>unvisited</v>
      </c>
      <c r="F50">
        <v>0</v>
      </c>
      <c r="G50">
        <v>0</v>
      </c>
      <c r="H50">
        <v>0</v>
      </c>
      <c r="I50">
        <v>0</v>
      </c>
      <c r="J50">
        <v>0</v>
      </c>
      <c r="K50" t="str">
        <v>https://en.wikipedia.org/wiki/Shrewsbury,_New_Jersey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2">
      <c r="A51" t="str">
        <v>Shrewsbury</v>
      </c>
      <c r="B51" t="str">
        <v>Monmouth</v>
      </c>
      <c r="C51" t="str">
        <v>3402567365</v>
      </c>
      <c r="D51" t="str">
        <v>township</v>
      </c>
      <c r="E51" t="str">
        <v>unvisited</v>
      </c>
      <c r="F51">
        <v>0</v>
      </c>
      <c r="G51">
        <v>0</v>
      </c>
      <c r="H51">
        <v>0</v>
      </c>
      <c r="I51">
        <v>0</v>
      </c>
      <c r="J51">
        <v>0</v>
      </c>
      <c r="K51" t="str">
        <v>https://en.wikipedia.org/wiki/Shrewsbury_Township,_New_Jersey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 x14ac:dyDescent="0.2">
      <c r="A52" t="str">
        <v>Spring Lake</v>
      </c>
      <c r="B52" t="str">
        <v>Monmouth</v>
      </c>
      <c r="C52" t="str">
        <v>3402570110</v>
      </c>
      <c r="D52" t="str">
        <v>borough</v>
      </c>
      <c r="E52" t="str">
        <v>unvisited</v>
      </c>
      <c r="F52">
        <v>0</v>
      </c>
      <c r="G52">
        <v>0</v>
      </c>
      <c r="H52">
        <v>0</v>
      </c>
      <c r="I52">
        <v>0</v>
      </c>
      <c r="J52">
        <v>0</v>
      </c>
      <c r="K52" t="str">
        <v>https://en.wikipedia.org/wiki/Spring_Lake,_New_Jersey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 x14ac:dyDescent="0.2">
      <c r="A53" t="str">
        <v>Spring Lake Heights</v>
      </c>
      <c r="B53" t="str">
        <v>Monmouth</v>
      </c>
      <c r="C53" t="str">
        <v>3402570140</v>
      </c>
      <c r="D53" t="str">
        <v>borough</v>
      </c>
      <c r="E53" t="str">
        <v>pre-challenge</v>
      </c>
      <c r="F53">
        <v>0</v>
      </c>
      <c r="G53" t="str">
        <v>Spring Lake Manor - Family Wedding</v>
      </c>
      <c r="H53">
        <v>43337</v>
      </c>
      <c r="I53" t="str">
        <v>Spring Lake Manor</v>
      </c>
      <c r="J53" t="str">
        <v>https://springlakemanor.com/</v>
      </c>
      <c r="K53" t="str">
        <v>https://en.wikipedia.org/wiki/Spring_Lake_Heights,_New_Jersey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</row>
    <row r="54" spans="1:47" x14ac:dyDescent="0.2">
      <c r="A54" t="str">
        <v>Tinton Falls</v>
      </c>
      <c r="B54" t="str">
        <v>Monmouth</v>
      </c>
      <c r="C54" t="str">
        <v>3402573020</v>
      </c>
      <c r="D54" t="str">
        <v>borough</v>
      </c>
      <c r="E54" t="str">
        <v>pre-challenge</v>
      </c>
      <c r="F54">
        <v>0</v>
      </c>
      <c r="G54" t="str">
        <v>Jersey Shore Outlets Food Court</v>
      </c>
      <c r="H54">
        <v>43730</v>
      </c>
      <c r="I54">
        <v>0</v>
      </c>
      <c r="J54">
        <v>0</v>
      </c>
      <c r="K54" t="str">
        <v>https://en.wikipedia.org/wiki/Tinton_Falls,_New_Jersey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 x14ac:dyDescent="0.2">
      <c r="A55" t="str">
        <v>Union Beach</v>
      </c>
      <c r="B55" t="str">
        <v>Monmouth</v>
      </c>
      <c r="C55" t="str">
        <v>3402574540</v>
      </c>
      <c r="D55" t="str">
        <v>borough</v>
      </c>
      <c r="E55" t="str">
        <v>pre-challenge</v>
      </c>
      <c r="F55">
        <v>0</v>
      </c>
      <c r="G55" t="str">
        <v>Jakeabobs</v>
      </c>
      <c r="H55">
        <v>43293</v>
      </c>
      <c r="I55">
        <v>0</v>
      </c>
      <c r="J55">
        <v>0</v>
      </c>
      <c r="K55" t="str">
        <v>https://en.wikipedia.org/wiki/Union_Beach,_New_Jersey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2">
      <c r="A56" t="str">
        <v>Upper Freehold</v>
      </c>
      <c r="B56" t="str">
        <v>Monmouth</v>
      </c>
      <c r="C56" t="str">
        <v>3402574900</v>
      </c>
      <c r="D56" t="str">
        <v>township</v>
      </c>
      <c r="E56" t="str">
        <v>queued</v>
      </c>
      <c r="F56">
        <v>287</v>
      </c>
      <c r="G56" t="str">
        <v>Happy Apple Inn</v>
      </c>
      <c r="H56">
        <v>46140</v>
      </c>
      <c r="I56" t="str">
        <v>Happy Apple Inn</v>
      </c>
      <c r="J56" t="str">
        <v>https://www.happyappleinn.com/</v>
      </c>
      <c r="K56" t="str">
        <v>https://en.wikipedia.org/wiki/Upper_Freehold_Township,_New_Jersey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 x14ac:dyDescent="0.2">
      <c r="A57" t="str">
        <v>Wall</v>
      </c>
      <c r="B57" t="str">
        <v>Monmouth</v>
      </c>
      <c r="C57" t="str">
        <v>3402576460</v>
      </c>
      <c r="D57" t="str">
        <v>township</v>
      </c>
      <c r="E57" t="str">
        <v>queued</v>
      </c>
      <c r="F57">
        <v>149</v>
      </c>
      <c r="G57" t="str">
        <v>Roadside Diner</v>
      </c>
      <c r="H57">
        <v>45263</v>
      </c>
      <c r="I57" t="str">
        <v>The Roadside Diner</v>
      </c>
      <c r="J57" t="str">
        <v>https://theroadsidediner0529.s4shops.com/</v>
      </c>
      <c r="K57" t="str">
        <v>https://en.wikipedia.org/wiki/Wall_Township,_New_Jersey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2">
      <c r="A58" t="str">
        <v>West Long Branch</v>
      </c>
      <c r="B58" t="str">
        <v>Monmouth</v>
      </c>
      <c r="C58" t="str">
        <v>3402579310</v>
      </c>
      <c r="D58" t="str">
        <v>borough</v>
      </c>
      <c r="E58" t="str">
        <v>queued</v>
      </c>
      <c r="F58">
        <v>131</v>
      </c>
      <c r="G58" t="str">
        <v>Mizu Sushi &amp; Steakhouse</v>
      </c>
      <c r="H58">
        <v>45224</v>
      </c>
      <c r="I58">
        <v>0</v>
      </c>
      <c r="J58">
        <v>0</v>
      </c>
      <c r="K58" t="str">
        <v>https://en.wikipedia.org/wiki/West_Long_Branch,_New_Jersey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U44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1741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COUNTIF(Data!B$3:B$602,"Morris")</f>
        <v>39</v>
      </c>
      <c r="C2" s="19" t="s">
        <v>1724</v>
      </c>
      <c r="D2" s="32">
        <f>COUNTIFS(Data!B$3:B$602,"Morris",Data!E3:E602,"visited")+COUNTIFS(Data!B$3:B$602,"Morris",Data!E3:E602,"queued")+COUNTIFS(Data!B$3:B$602,"Morris",Data!E3:E602,"pre-challenge")</f>
        <v>7</v>
      </c>
      <c r="E2" s="20" t="s">
        <v>1725</v>
      </c>
      <c r="F2" s="33">
        <f>B2-D2</f>
        <v>32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44">_xlfn._xlws.FILTER(Data!A$3:AU$602,Data!B$3:B$602="Morris","")</f>
        <v>Boonton</v>
      </c>
      <c r="B6" t="str">
        <v>Morris</v>
      </c>
      <c r="C6" t="str">
        <v>3402706610</v>
      </c>
      <c r="D6" t="str">
        <v>town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https://en.wikipedia.org/wiki/Boonton,_New_Jersey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Boonton</v>
      </c>
      <c r="B7" t="str">
        <v>Morris</v>
      </c>
      <c r="C7" t="str">
        <v>3402706640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https://en.wikipedia.org/wiki/Boonton_Township,_New_Jersey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Butler</v>
      </c>
      <c r="B8" t="str">
        <v>Morris</v>
      </c>
      <c r="C8" t="str">
        <v>3402709040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https://en.wikipedia.org/wiki/Butler,_New_Jersey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Chatham</v>
      </c>
      <c r="B9" t="str">
        <v>Morris</v>
      </c>
      <c r="C9" t="str">
        <v>3402712100</v>
      </c>
      <c r="D9" t="str">
        <v>borough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https://en.wikipedia.org/wiki/Chatham,_New_Jersey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Chatham</v>
      </c>
      <c r="B10" t="str">
        <v>Morris</v>
      </c>
      <c r="C10" t="str">
        <v>3402712130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https://en.wikipedia.org/wiki/Chatham_Township,_New_Jersey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Chester</v>
      </c>
      <c r="B11" t="str">
        <v>Morris</v>
      </c>
      <c r="C11" t="str">
        <v>3402712580</v>
      </c>
      <c r="D11" t="str">
        <v>borough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https://en.wikipedia.org/wiki/Chester,_New_Jersey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Chester</v>
      </c>
      <c r="B12" t="str">
        <v>Morris</v>
      </c>
      <c r="C12" t="str">
        <v>3402712610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https://en.wikipedia.org/wiki/Chester_Township,_New_Jersey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Denville</v>
      </c>
      <c r="B13" t="str">
        <v>Morris</v>
      </c>
      <c r="C13" t="str">
        <v>3402717650</v>
      </c>
      <c r="D13" t="str">
        <v>township</v>
      </c>
      <c r="E13" t="str">
        <v>pre-challenge</v>
      </c>
      <c r="F13">
        <v>0</v>
      </c>
      <c r="G13" t="str">
        <v>Starbucks</v>
      </c>
      <c r="H13">
        <v>42419</v>
      </c>
      <c r="I13" t="str">
        <v>Starbucks</v>
      </c>
      <c r="J13" t="str">
        <v>https://www.starbucks.com/</v>
      </c>
      <c r="K13" t="str">
        <v>https://en.wikipedia.org/wiki/Denville_Township,_New_Jersey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Dover</v>
      </c>
      <c r="B14" t="str">
        <v>Morris</v>
      </c>
      <c r="C14" t="str">
        <v>3402718070</v>
      </c>
      <c r="D14" t="str">
        <v>town</v>
      </c>
      <c r="E14" t="str">
        <v>queued</v>
      </c>
      <c r="F14">
        <v>276</v>
      </c>
      <c r="G14" t="str">
        <v>Barry's Cafe &amp; Restaurant</v>
      </c>
      <c r="H14">
        <v>45851</v>
      </c>
      <c r="I14" t="str">
        <v>Barry's Cafe &amp; Restaurant</v>
      </c>
      <c r="J14" t="str">
        <v>https://barryscafe.com/</v>
      </c>
      <c r="K14" t="str">
        <v>https://en.wikipedia.org/wiki/Dover,_New_Jersey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East Hanover</v>
      </c>
      <c r="B15" t="str">
        <v>Morris</v>
      </c>
      <c r="C15" t="str">
        <v>3402719210</v>
      </c>
      <c r="D15" t="str">
        <v>township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https://en.wikipedia.org/wiki/East_Hanover_Township,_New_Jersey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Florham Park</v>
      </c>
      <c r="B16" t="str">
        <v>Morris</v>
      </c>
      <c r="C16" t="str">
        <v>3402723910</v>
      </c>
      <c r="D16" t="str">
        <v>borough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https://en.wikipedia.org/wiki/Florham_Park,_New_Jersey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Hanover</v>
      </c>
      <c r="B17" t="str">
        <v>Morris</v>
      </c>
      <c r="C17" t="str">
        <v>3402729550</v>
      </c>
      <c r="D17" t="str">
        <v>township</v>
      </c>
      <c r="E17" t="str">
        <v>pre-challenge</v>
      </c>
      <c r="F17">
        <v>0</v>
      </c>
      <c r="G17" t="str">
        <v>The Auld Shebeen Pub (Marriott Hotel)</v>
      </c>
      <c r="H17">
        <v>42861</v>
      </c>
      <c r="I17" t="str">
        <v>The Auld Shebeen Pub</v>
      </c>
      <c r="J17" t="str">
        <v>https://www.marriott.com/en-us/dining/restaurant-bar/ewrho-hanover-marriott/80148-the-auld-shebeen-pub.mi</v>
      </c>
      <c r="K17" t="str">
        <v>https://en.wikipedia.org/wiki/Hanover_Township,_New_Jersey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Harding</v>
      </c>
      <c r="B18" t="str">
        <v>Morris</v>
      </c>
      <c r="C18" t="str">
        <v>3402729700</v>
      </c>
      <c r="D18" t="str">
        <v>township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https://en.wikipedia.org/wiki/Harding_Township,_New_Jersey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Jefferson</v>
      </c>
      <c r="B19" t="str">
        <v>Morris</v>
      </c>
      <c r="C19" t="str">
        <v>3402734980</v>
      </c>
      <c r="D19" t="str">
        <v>township</v>
      </c>
      <c r="E19" t="str">
        <v>queued</v>
      </c>
      <c r="F19">
        <v>162</v>
      </c>
      <c r="G19" t="str">
        <v>The Jefferson Diner</v>
      </c>
      <c r="H19">
        <v>45292</v>
      </c>
      <c r="I19" t="str">
        <v>The Jefferson Diner</v>
      </c>
      <c r="J19" t="str">
        <v>https://www.jeffersondiner.com/</v>
      </c>
      <c r="K19" t="str">
        <v>https://en.wikipedia.org/wiki/Jefferson_Township,_New_Jersey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Kinnelon</v>
      </c>
      <c r="B20" t="str">
        <v>Morris</v>
      </c>
      <c r="C20" t="str">
        <v>3402737110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https://en.wikipedia.org/wiki/Kinnelon,_New_Jersey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Lincoln Park</v>
      </c>
      <c r="B21" t="str">
        <v>Morris</v>
      </c>
      <c r="C21" t="str">
        <v>3402740290</v>
      </c>
      <c r="D21" t="str">
        <v>borough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https://en.wikipedia.org/wiki/Lincoln_Park,_New_Jersey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Long Hill</v>
      </c>
      <c r="B22" t="str">
        <v>Morris</v>
      </c>
      <c r="C22" t="str">
        <v>3402741362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https://en.wikipedia.org/wiki/Long_Hill_Township,_New_Jersey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Madison</v>
      </c>
      <c r="B23" t="str">
        <v>Morris</v>
      </c>
      <c r="C23" t="str">
        <v>3402742510</v>
      </c>
      <c r="D23" t="str">
        <v>borough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https://en.wikipedia.org/wiki/Madison,_New_Jersey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Mendham</v>
      </c>
      <c r="B24" t="str">
        <v>Morris</v>
      </c>
      <c r="C24" t="str">
        <v>3402745330</v>
      </c>
      <c r="D24" t="str">
        <v>borough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https://en.wikipedia.org/wiki/Mendham,_New_Jersey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Mendham</v>
      </c>
      <c r="B25" t="str">
        <v>Morris</v>
      </c>
      <c r="C25" t="str">
        <v>3402745360</v>
      </c>
      <c r="D25" t="str">
        <v>township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https://en.wikipedia.org/wiki/Mendham_Township,_New_Jersey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Mine Hill</v>
      </c>
      <c r="B26" t="str">
        <v>Morris</v>
      </c>
      <c r="C26" t="str">
        <v>3402746860</v>
      </c>
      <c r="D26" t="str">
        <v>township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https://en.wikipedia.org/wiki/Mine_Hill_Township,_New_Jersey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Montville</v>
      </c>
      <c r="B27" t="str">
        <v>Morris</v>
      </c>
      <c r="C27" t="str">
        <v>3402747670</v>
      </c>
      <c r="D27" t="str">
        <v>township</v>
      </c>
      <c r="E27" t="str">
        <v>queued</v>
      </c>
      <c r="F27">
        <v>285</v>
      </c>
      <c r="G27" t="str">
        <v>Olivo Mediterranean Fare</v>
      </c>
      <c r="H27">
        <v>46109</v>
      </c>
      <c r="I27" t="str">
        <v>Olivo Mediterranean Fare</v>
      </c>
      <c r="J27" t="str">
        <v>https://www.olivonj.com/</v>
      </c>
      <c r="K27" t="str">
        <v>https://en.wikipedia.org/wiki/Montville_Township,_New_Jersey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Morris</v>
      </c>
      <c r="B28" t="str">
        <v>Morris</v>
      </c>
      <c r="C28" t="str">
        <v>3402748090</v>
      </c>
      <c r="D28" t="str">
        <v>township</v>
      </c>
      <c r="E28" t="str">
        <v>pre-challenge</v>
      </c>
      <c r="F28">
        <v>0</v>
      </c>
      <c r="G28" t="str">
        <v>Family's Home - Birthday</v>
      </c>
      <c r="H28">
        <v>43365</v>
      </c>
      <c r="I28">
        <v>0</v>
      </c>
      <c r="J28">
        <v>0</v>
      </c>
      <c r="K28" t="str">
        <v>https://en.wikipedia.org/wiki/Morris_Township,_New_Jersey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Morris Plains</v>
      </c>
      <c r="B29" t="str">
        <v>Morris</v>
      </c>
      <c r="C29" t="str">
        <v>3402748210</v>
      </c>
      <c r="D29" t="str">
        <v>borough</v>
      </c>
      <c r="E29" t="str">
        <v>unvisited</v>
      </c>
      <c r="F29">
        <v>0</v>
      </c>
      <c r="G29">
        <v>0</v>
      </c>
      <c r="H29">
        <v>0</v>
      </c>
      <c r="I29">
        <v>0</v>
      </c>
      <c r="J29">
        <v>0</v>
      </c>
      <c r="K29" t="str">
        <v>https://en.wikipedia.org/wiki/Morris_Plains,_New_Jersey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Morristown</v>
      </c>
      <c r="B30" t="str">
        <v>Morris</v>
      </c>
      <c r="C30" t="str">
        <v>3402748300</v>
      </c>
      <c r="D30" t="str">
        <v>town</v>
      </c>
      <c r="E30" t="str">
        <v>unvisited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https://en.wikipedia.org/wiki/Morristown,_New_Jersey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Mount Arlington</v>
      </c>
      <c r="B31" t="str">
        <v>Morris</v>
      </c>
      <c r="C31" t="str">
        <v>3402748690</v>
      </c>
      <c r="D31" t="str">
        <v>borough</v>
      </c>
      <c r="E31" t="str">
        <v>unvisited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https://en.wikipedia.org/wiki/Mount_Arlington,_New_Jersey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t="str">
        <v>Mount Olive</v>
      </c>
      <c r="B32" t="str">
        <v>Morris</v>
      </c>
      <c r="C32" t="str">
        <v>3402749080</v>
      </c>
      <c r="D32" t="str">
        <v>township</v>
      </c>
      <c r="E32" t="str">
        <v>unvisited</v>
      </c>
      <c r="F32">
        <v>0</v>
      </c>
      <c r="G32">
        <v>0</v>
      </c>
      <c r="H32">
        <v>0</v>
      </c>
      <c r="I32">
        <v>0</v>
      </c>
      <c r="J32">
        <v>0</v>
      </c>
      <c r="K32" t="str">
        <v>https://en.wikipedia.org/wiki/Mount_Olive_Township,_New_Jersey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t="str">
        <v>Mountain Lakes</v>
      </c>
      <c r="B33" t="str">
        <v>Morris</v>
      </c>
      <c r="C33" t="str">
        <v>3402748480</v>
      </c>
      <c r="D33" t="str">
        <v>borough</v>
      </c>
      <c r="E33" t="str">
        <v>unvisited</v>
      </c>
      <c r="F33">
        <v>0</v>
      </c>
      <c r="G33">
        <v>0</v>
      </c>
      <c r="H33">
        <v>0</v>
      </c>
      <c r="I33">
        <v>0</v>
      </c>
      <c r="J33">
        <v>0</v>
      </c>
      <c r="K33" t="str">
        <v>https://en.wikipedia.org/wiki/Mountain_Lakes,_New_Jersey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t="str">
        <v>Netcong</v>
      </c>
      <c r="B34" t="str">
        <v>Morris</v>
      </c>
      <c r="C34" t="str">
        <v>3402750130</v>
      </c>
      <c r="D34" t="str">
        <v>borough</v>
      </c>
      <c r="E34" t="str">
        <v>unvisited</v>
      </c>
      <c r="F34">
        <v>0</v>
      </c>
      <c r="G34">
        <v>0</v>
      </c>
      <c r="H34">
        <v>0</v>
      </c>
      <c r="I34">
        <v>0</v>
      </c>
      <c r="J34">
        <v>0</v>
      </c>
      <c r="K34" t="str">
        <v>https://en.wikipedia.org/wiki/Netcong,_New_Jersey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t="str">
        <v>Parsippany-Troy Hills</v>
      </c>
      <c r="B35" t="str">
        <v>Morris</v>
      </c>
      <c r="C35" t="str">
        <v>3402756460</v>
      </c>
      <c r="D35" t="str">
        <v>township</v>
      </c>
      <c r="E35" t="str">
        <v>pre-challenge</v>
      </c>
      <c r="F35">
        <v>0</v>
      </c>
      <c r="G35" t="str">
        <v>Zinburger</v>
      </c>
      <c r="H35">
        <v>42386</v>
      </c>
      <c r="I35" t="str">
        <v>Zinburger Wine &amp; Burger Bar</v>
      </c>
      <c r="J35" t="str">
        <v>https://www.zinburgeraz.com/</v>
      </c>
      <c r="K35" t="str">
        <v>https://en.wikipedia.org/wiki/Parsippany-Troy_Hills_Township,_New_Jersey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">
      <c r="A36" t="str">
        <v>Pequannock</v>
      </c>
      <c r="B36" t="str">
        <v>Morris</v>
      </c>
      <c r="C36" t="str">
        <v>3402758110</v>
      </c>
      <c r="D36" t="str">
        <v>township</v>
      </c>
      <c r="E36" t="str">
        <v>unvisited</v>
      </c>
      <c r="F36">
        <v>0</v>
      </c>
      <c r="G36">
        <v>0</v>
      </c>
      <c r="H36">
        <v>0</v>
      </c>
      <c r="I36">
        <v>0</v>
      </c>
      <c r="J36">
        <v>0</v>
      </c>
      <c r="K36" t="str">
        <v>https://en.wikipedia.org/wiki/Pequannock_Township,_New_Jersey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tr">
        <v>Randolph</v>
      </c>
      <c r="B37" t="str">
        <v>Morris</v>
      </c>
      <c r="C37" t="str">
        <v>3402761890</v>
      </c>
      <c r="D37" t="str">
        <v>township</v>
      </c>
      <c r="E37" t="str">
        <v>unvisited</v>
      </c>
      <c r="F37">
        <v>0</v>
      </c>
      <c r="G37">
        <v>0</v>
      </c>
      <c r="H37">
        <v>0</v>
      </c>
      <c r="I37">
        <v>0</v>
      </c>
      <c r="J37">
        <v>0</v>
      </c>
      <c r="K37" t="str">
        <v>https://en.wikipedia.org/wiki/Randolph_Township,_New_Jersey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t="str">
        <v>Riverdale</v>
      </c>
      <c r="B38" t="str">
        <v>Morris</v>
      </c>
      <c r="C38" t="str">
        <v>3402763300</v>
      </c>
      <c r="D38" t="str">
        <v>borough</v>
      </c>
      <c r="E38" t="str">
        <v>unvisited</v>
      </c>
      <c r="F38">
        <v>0</v>
      </c>
      <c r="G38">
        <v>0</v>
      </c>
      <c r="H38">
        <v>0</v>
      </c>
      <c r="I38">
        <v>0</v>
      </c>
      <c r="J38">
        <v>0</v>
      </c>
      <c r="K38" t="str">
        <v>https://en.wikipedia.org/wiki/Riverdale,_New_Jersey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">
      <c r="A39" t="str">
        <v>Rockaway</v>
      </c>
      <c r="B39" t="str">
        <v>Morris</v>
      </c>
      <c r="C39" t="str">
        <v>3402764050</v>
      </c>
      <c r="D39" t="str">
        <v>borough</v>
      </c>
      <c r="E39" t="str">
        <v>unvisited</v>
      </c>
      <c r="F39">
        <v>0</v>
      </c>
      <c r="G39">
        <v>0</v>
      </c>
      <c r="H39">
        <v>0</v>
      </c>
      <c r="I39">
        <v>0</v>
      </c>
      <c r="J39">
        <v>0</v>
      </c>
      <c r="K39" t="str">
        <v>https://en.wikipedia.org/wiki/Rockaway,_New_Jersey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">
      <c r="A40" t="str">
        <v>Rockaway</v>
      </c>
      <c r="B40" t="str">
        <v>Morris</v>
      </c>
      <c r="C40" t="str">
        <v>3402764080</v>
      </c>
      <c r="D40" t="str">
        <v>township</v>
      </c>
      <c r="E40" t="str">
        <v>unvisited</v>
      </c>
      <c r="F40">
        <v>0</v>
      </c>
      <c r="G40">
        <v>0</v>
      </c>
      <c r="H40">
        <v>0</v>
      </c>
      <c r="I40">
        <v>0</v>
      </c>
      <c r="J40">
        <v>0</v>
      </c>
      <c r="K40" t="str">
        <v>https://en.wikipedia.org/wiki/Rockaway_Township,_New_Jersey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">
      <c r="A41" t="str">
        <v>Roxbury</v>
      </c>
      <c r="B41" t="str">
        <v>Morris</v>
      </c>
      <c r="C41" t="str">
        <v>3402764980</v>
      </c>
      <c r="D41" t="str">
        <v>township</v>
      </c>
      <c r="E41" t="str">
        <v>unvisited</v>
      </c>
      <c r="F41">
        <v>0</v>
      </c>
      <c r="G41">
        <v>0</v>
      </c>
      <c r="H41">
        <v>0</v>
      </c>
      <c r="I41">
        <v>0</v>
      </c>
      <c r="J41">
        <v>0</v>
      </c>
      <c r="K41" t="str">
        <v>https://en.wikipedia.org/wiki/Roxbury_Township,_New_Jersey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">
      <c r="A42" t="str">
        <v>Victory Gardens</v>
      </c>
      <c r="B42" t="str">
        <v>Morris</v>
      </c>
      <c r="C42" t="str">
        <v>3402775890</v>
      </c>
      <c r="D42" t="str">
        <v>borough</v>
      </c>
      <c r="E42" t="str">
        <v>unvisited</v>
      </c>
      <c r="F42">
        <v>0</v>
      </c>
      <c r="G42">
        <v>0</v>
      </c>
      <c r="H42">
        <v>0</v>
      </c>
      <c r="I42">
        <v>0</v>
      </c>
      <c r="J42">
        <v>0</v>
      </c>
      <c r="K42" t="str">
        <v>https://en.wikipedia.org/wiki/Victory_Gardens,_New_Jersey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">
      <c r="A43" t="str">
        <v>Washington</v>
      </c>
      <c r="B43" t="str">
        <v>Morris</v>
      </c>
      <c r="C43" t="str">
        <v>3402777240</v>
      </c>
      <c r="D43" t="str">
        <v>township</v>
      </c>
      <c r="E43" t="str">
        <v>unvisited</v>
      </c>
      <c r="F43">
        <v>0</v>
      </c>
      <c r="G43">
        <v>0</v>
      </c>
      <c r="H43">
        <v>0</v>
      </c>
      <c r="I43">
        <v>0</v>
      </c>
      <c r="J43">
        <v>0</v>
      </c>
      <c r="K43" t="str">
        <v>https://en.wikipedia.org/wiki/Washington_Township,_Morris_County,_New_Jersey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">
      <c r="A44" t="str">
        <v>Wharton</v>
      </c>
      <c r="B44" t="str">
        <v>Morris</v>
      </c>
      <c r="C44" t="str">
        <v>3402780390</v>
      </c>
      <c r="D44" t="str">
        <v>borough</v>
      </c>
      <c r="E44" t="str">
        <v>unvisited</v>
      </c>
      <c r="F44">
        <v>0</v>
      </c>
      <c r="G44">
        <v>0</v>
      </c>
      <c r="H44">
        <v>0</v>
      </c>
      <c r="I44">
        <v>0</v>
      </c>
      <c r="J44">
        <v>0</v>
      </c>
      <c r="K44" t="str">
        <v>https://en.wikipedia.org/wiki/Wharton,_New_Jersey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U38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1742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COUNTIF(Data!B$3:B$602,"Ocean")</f>
        <v>33</v>
      </c>
      <c r="C2" s="19" t="s">
        <v>1724</v>
      </c>
      <c r="D2" s="32">
        <f>COUNTIFS(Data!B$3:B$602,"Ocean",Data!E3:E602,"visited")+COUNTIFS(Data!B$3:B$602,"Ocean",Data!E3:E602,"queued")+COUNTIFS(Data!B$3:B$602,"Ocean",Data!E3:E602,"pre-challenge")</f>
        <v>24</v>
      </c>
      <c r="E2" s="20" t="s">
        <v>1725</v>
      </c>
      <c r="F2" s="33">
        <f>B2-D2</f>
        <v>9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38">_xlfn._xlws.FILTER(Data!A$3:AU$602,Data!B$3:B$602="Ocean","")</f>
        <v>Barnegat</v>
      </c>
      <c r="B6" t="str">
        <v>Ocean</v>
      </c>
      <c r="C6" t="str">
        <v>3402903050</v>
      </c>
      <c r="D6" t="str">
        <v>township</v>
      </c>
      <c r="E6" t="str">
        <v>queued</v>
      </c>
      <c r="F6">
        <v>227</v>
      </c>
      <c r="G6" t="str">
        <v>Sun Harbor Seafood &amp; Grill</v>
      </c>
      <c r="H6">
        <v>45535</v>
      </c>
      <c r="I6" t="str">
        <v>Sun Harbor Seafood and Grill</v>
      </c>
      <c r="J6" t="str">
        <v>https://www.sunharborseafoodandgrill.com/</v>
      </c>
      <c r="K6" t="str">
        <v>https://en.wikipedia.org/wiki/Barnegat_Township,_New_Jersey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Barnegat Light</v>
      </c>
      <c r="B7" t="str">
        <v>Ocean</v>
      </c>
      <c r="C7" t="str">
        <v>3402903130</v>
      </c>
      <c r="D7" t="str">
        <v>borough</v>
      </c>
      <c r="E7" t="str">
        <v>queued</v>
      </c>
      <c r="F7">
        <v>218</v>
      </c>
      <c r="G7" t="str">
        <v>Mustache Bill's Diner</v>
      </c>
      <c r="H7">
        <v>45515</v>
      </c>
      <c r="I7" t="str">
        <v>Mustache Bill's Diner</v>
      </c>
      <c r="J7" t="str">
        <v>https://mustachebills.com/</v>
      </c>
      <c r="K7" t="str">
        <v>https://en.wikipedia.org/wiki/Barnegat_Light,_New_Jersey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Bay Head</v>
      </c>
      <c r="B8" t="str">
        <v>Ocean</v>
      </c>
      <c r="C8" t="str">
        <v>3402903520</v>
      </c>
      <c r="D8" t="str">
        <v>borough</v>
      </c>
      <c r="E8" t="str">
        <v>queued</v>
      </c>
      <c r="F8">
        <v>232</v>
      </c>
      <c r="G8" t="str">
        <v>The Grenville Restaurant &amp; Hotel</v>
      </c>
      <c r="H8">
        <v>45554</v>
      </c>
      <c r="I8" t="str">
        <v>The Grenville Hotel &amp; Restaurant</v>
      </c>
      <c r="J8" t="str">
        <v>https://www.thegrenville.com/</v>
      </c>
      <c r="K8" t="str">
        <v>https://en.wikipedia.org/wiki/Bay_Head,_New_Jersey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Beach Haven</v>
      </c>
      <c r="B9" t="str">
        <v>Ocean</v>
      </c>
      <c r="C9" t="str">
        <v>3402903940</v>
      </c>
      <c r="D9" t="str">
        <v>borough</v>
      </c>
      <c r="E9" t="str">
        <v>queued</v>
      </c>
      <c r="F9">
        <v>193</v>
      </c>
      <c r="G9" t="str">
        <v>Black Whale Bar &amp; Fish House</v>
      </c>
      <c r="H9">
        <v>45416</v>
      </c>
      <c r="I9" t="str">
        <v>Black Whale Bar &amp; Fish House</v>
      </c>
      <c r="J9" t="str">
        <v>https://www.blackwhalebar.com/</v>
      </c>
      <c r="K9" t="str">
        <v>https://en.wikipedia.org/wiki/Beach_Haven,_New_Jersey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Beachwood</v>
      </c>
      <c r="B10" t="str">
        <v>Ocean</v>
      </c>
      <c r="C10" t="str">
        <v>3402904180</v>
      </c>
      <c r="D10" t="str">
        <v>borough</v>
      </c>
      <c r="E10" t="str">
        <v>visited</v>
      </c>
      <c r="F10">
        <v>124</v>
      </c>
      <c r="G10" t="str">
        <v>Sand Castle Diner</v>
      </c>
      <c r="H10">
        <v>45214</v>
      </c>
      <c r="I10" t="str">
        <v>Sand Castle Diner</v>
      </c>
      <c r="J10" t="str">
        <v>https://sandcastledinernj.com/</v>
      </c>
      <c r="K10" t="str">
        <v>https://en.wikipedia.org/wiki/Beachwood,_New_Jersey</v>
      </c>
      <c r="L10" t="str">
        <v>NJ Town #124: Beachwood</v>
      </c>
      <c r="M10" t="str">
        <v>https://www.instagram.com/p/DRXTcRNEbbt/</v>
      </c>
      <c r="N10" t="str">
        <v>NJ Town #124: Bonus Town Trivia</v>
      </c>
      <c r="O10" t="str">
        <v>https://www.instagram.com/p/DRpKS1OES5O/?img_index=1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tr">
        <v>NJ Town #124: Beachwood</v>
      </c>
      <c r="AG10" t="str">
        <v>https://www.facebook.com/reel/1543556009974817</v>
      </c>
      <c r="AH10" t="str">
        <v>NJ Town #124: Bonus Town Trivia</v>
      </c>
      <c r="AI10" t="str">
        <v>https://www.facebook.com/permalink.php?story_fbid=pfbid04dYD4JWGLk55bhtpT3ZBfwCubZPaQ6vyAMKrpzzZ6tjHvnetXEDh4RXSxpeLbb1bl&amp;id=61569640546791</v>
      </c>
      <c r="AJ10">
        <v>0</v>
      </c>
      <c r="AK10">
        <v>0</v>
      </c>
      <c r="AL10" t="str">
        <v>Town #124</v>
      </c>
      <c r="AM10" t="str">
        <v>https://www.instagram.com/p/DRXTcRNEbbt/</v>
      </c>
      <c r="AN10">
        <v>0</v>
      </c>
      <c r="AO10">
        <v>0</v>
      </c>
      <c r="AP10" t="str">
        <v>Town #124 - Bonus Town Trivia</v>
      </c>
      <c r="AQ10" t="str">
        <v>https://www.instagram.com/p/DRpKS1OES5O/?img_index=1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Berkeley</v>
      </c>
      <c r="B11" t="str">
        <v>Ocean</v>
      </c>
      <c r="C11" t="str">
        <v>3402905305</v>
      </c>
      <c r="D11" t="str">
        <v>township</v>
      </c>
      <c r="E11" t="str">
        <v>queued</v>
      </c>
      <c r="F11">
        <v>219</v>
      </c>
      <c r="G11" t="str">
        <v>B2Bistro Waters Edge</v>
      </c>
      <c r="H11">
        <v>45520</v>
      </c>
      <c r="I11" t="str">
        <v>B2 Bistro + Bar</v>
      </c>
      <c r="J11" t="str">
        <v>https://www.b2bistro.com/</v>
      </c>
      <c r="K11" t="str">
        <v>https://en.wikipedia.org/wiki/Berkeley_Township,_New_Jersey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Brick</v>
      </c>
      <c r="B12" t="str">
        <v>Ocean</v>
      </c>
      <c r="C12" t="str">
        <v>3402907420</v>
      </c>
      <c r="D12" t="str">
        <v>township</v>
      </c>
      <c r="E12" t="str">
        <v>visited</v>
      </c>
      <c r="F12">
        <v>100</v>
      </c>
      <c r="G12" t="str">
        <v>Chuck &amp; Maureen's Pig Roast</v>
      </c>
      <c r="H12">
        <v>45150</v>
      </c>
      <c r="I12">
        <v>0</v>
      </c>
      <c r="J12">
        <v>0</v>
      </c>
      <c r="K12" t="str">
        <v>https://en.wikipedia.org/wiki/Brick_Township,_New_Jersey</v>
      </c>
      <c r="L12" t="str">
        <v>NJ Town #100: Brick</v>
      </c>
      <c r="M12" t="str">
        <v>https://www.instagram.com/p/DFEijoOx9Ny/?img_index=1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tr">
        <v>NJ Town #100: Brick</v>
      </c>
      <c r="AG12" t="str">
        <v>https://www.facebook.com/permalink.php?story_fbid=pfbid02w9s314etvQoYKDPekMmXYEFFUUNFUEB9HK2EudLNyNEJeJiHSBwgioLuX7tb5u9Bl&amp;id=61569640546791</v>
      </c>
      <c r="AH12">
        <v>0</v>
      </c>
      <c r="AI12">
        <v>0</v>
      </c>
      <c r="AJ12">
        <v>0</v>
      </c>
      <c r="AK12">
        <v>0</v>
      </c>
      <c r="AL12" t="str">
        <v>Town #100</v>
      </c>
      <c r="AM12" t="str">
        <v>https://www.instagram.com/p/DFEijoOx9Ny/?img_index=1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Eagleswood</v>
      </c>
      <c r="B13" t="str">
        <v>Ocean</v>
      </c>
      <c r="C13" t="str">
        <v>3402918670</v>
      </c>
      <c r="D13" t="str">
        <v>township</v>
      </c>
      <c r="E13" t="str">
        <v>queued</v>
      </c>
      <c r="F13">
        <v>164</v>
      </c>
      <c r="G13" t="str">
        <v>Calloway's Restaurant &amp; Bar</v>
      </c>
      <c r="H13">
        <v>45297</v>
      </c>
      <c r="I13" t="str">
        <v>Calloway's Restaurant &amp; Bar</v>
      </c>
      <c r="J13" t="str">
        <v>https://callowaysrestaurant.com/</v>
      </c>
      <c r="K13" t="str">
        <v>https://en.wikipedia.org/wiki/Eagleswood_Township,_New_Jersey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Harvey Cedars</v>
      </c>
      <c r="B14" t="str">
        <v>Ocean</v>
      </c>
      <c r="C14" t="str">
        <v>3402930390</v>
      </c>
      <c r="D14" t="str">
        <v>borough</v>
      </c>
      <c r="E14" t="str">
        <v>queued</v>
      </c>
      <c r="F14">
        <v>235</v>
      </c>
      <c r="G14" t="str">
        <v>Black Eyed Susan's Restaurant &amp; Tavern</v>
      </c>
      <c r="H14">
        <v>45564</v>
      </c>
      <c r="I14" t="str">
        <v>Black-Eyed Susans</v>
      </c>
      <c r="J14" t="str">
        <v>http://www.blackeyedsusanslbi.com/</v>
      </c>
      <c r="K14" t="str">
        <v>https://en.wikipedia.org/wiki/Harvey_Cedars,_New_Jersey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Island Heights</v>
      </c>
      <c r="B15" t="str">
        <v>Ocean</v>
      </c>
      <c r="C15" t="str">
        <v>3402934530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https://en.wikipedia.org/wiki/Island_Heights,_New_Jersey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Jackson</v>
      </c>
      <c r="B16" t="str">
        <v>Ocean</v>
      </c>
      <c r="C16" t="str">
        <v>3402934680</v>
      </c>
      <c r="D16" t="str">
        <v>township</v>
      </c>
      <c r="E16" t="str">
        <v>pre-challenge</v>
      </c>
      <c r="F16">
        <v>0</v>
      </c>
      <c r="G16" t="str">
        <v>Great Adventure</v>
      </c>
      <c r="H16">
        <v>42666</v>
      </c>
      <c r="I16">
        <v>0</v>
      </c>
      <c r="J16">
        <v>0</v>
      </c>
      <c r="K16" t="str">
        <v>https://en.wikipedia.org/wiki/Jackson_Township,_New_Jersey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Lacey</v>
      </c>
      <c r="B17" t="str">
        <v>Ocean</v>
      </c>
      <c r="C17" t="str">
        <v>3402937380</v>
      </c>
      <c r="D17" t="str">
        <v>township</v>
      </c>
      <c r="E17" t="str">
        <v>visited</v>
      </c>
      <c r="F17">
        <v>107</v>
      </c>
      <c r="G17" t="str">
        <v>The Waterfront</v>
      </c>
      <c r="H17">
        <v>45160</v>
      </c>
      <c r="I17" t="str">
        <v>The Waterfront</v>
      </c>
      <c r="J17" t="str">
        <v>http://thewaterfrontnj.com/</v>
      </c>
      <c r="K17" t="str">
        <v>https://en.wikipedia.org/wiki/Lacey_Township,_New_Jersey</v>
      </c>
      <c r="L17" t="str">
        <v>NJ Town #107: Lacey</v>
      </c>
      <c r="M17" t="str">
        <v>https://www.instagram.com/p/DGgzwX1xdM0/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tr">
        <v>NJ Town #107: Lacey</v>
      </c>
      <c r="AG17" t="str">
        <v>https://www.facebook.com/reel/1534430474612131</v>
      </c>
      <c r="AH17">
        <v>0</v>
      </c>
      <c r="AI17">
        <v>0</v>
      </c>
      <c r="AJ17">
        <v>0</v>
      </c>
      <c r="AK17">
        <v>0</v>
      </c>
      <c r="AL17" t="str">
        <v>Town #107</v>
      </c>
      <c r="AM17" t="str">
        <v>https://www.instagram.com/p/DGgzwX1xdM0/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Lakehurst</v>
      </c>
      <c r="B18" t="str">
        <v>Ocean</v>
      </c>
      <c r="C18" t="str">
        <v>3402937770</v>
      </c>
      <c r="D18" t="str">
        <v>borough</v>
      </c>
      <c r="E18" t="str">
        <v>visited</v>
      </c>
      <c r="F18">
        <v>112</v>
      </c>
      <c r="G18" t="str">
        <v>Lakehurst Diner</v>
      </c>
      <c r="H18">
        <v>45173</v>
      </c>
      <c r="I18" t="str">
        <v>Lakehurst Diner</v>
      </c>
      <c r="J18" t="str">
        <v>https://thelakehurstdiner.com/</v>
      </c>
      <c r="K18" t="str">
        <v>https://en.wikipedia.org/wiki/Lakehurst,_New_Jersey</v>
      </c>
      <c r="L18" t="str">
        <v>NJ Town #112: Lakehurst</v>
      </c>
      <c r="M18" t="str">
        <v>https://www.instagram.com/p/DJPaQCIR7RA/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tr">
        <v>NJ Town #112: Lakehurst</v>
      </c>
      <c r="AG18" t="str">
        <v>https://fb.watch/Gj-LKnNvvM/</v>
      </c>
      <c r="AH18">
        <v>0</v>
      </c>
      <c r="AI18">
        <v>0</v>
      </c>
      <c r="AJ18">
        <v>0</v>
      </c>
      <c r="AK18">
        <v>0</v>
      </c>
      <c r="AL18" t="str">
        <v>Town #112</v>
      </c>
      <c r="AM18" t="str">
        <v>https://www.instagram.com/p/DJPaQCIR7RA/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Lakewood</v>
      </c>
      <c r="B19" t="str">
        <v>Ocean</v>
      </c>
      <c r="C19" t="str">
        <v>3402938550</v>
      </c>
      <c r="D19" t="str">
        <v>township</v>
      </c>
      <c r="E19" t="str">
        <v>queued</v>
      </c>
      <c r="F19">
        <v>190</v>
      </c>
      <c r="G19" t="str">
        <v>Route 70 Diner</v>
      </c>
      <c r="H19">
        <v>45403</v>
      </c>
      <c r="I19" t="str">
        <v>Route 70 Diner</v>
      </c>
      <c r="J19" t="str">
        <v>https://www.njdinerjourney.com/diner/route-70-diner</v>
      </c>
      <c r="K19" t="str">
        <v>https://en.wikipedia.org/wiki/Lakewood_Township,_New_Jersey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Lavallette</v>
      </c>
      <c r="B20" t="str">
        <v>Ocean</v>
      </c>
      <c r="C20" t="str">
        <v>3402939390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https://en.wikipedia.org/wiki/Lavallette,_New_Jersey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Little Egg Harbor</v>
      </c>
      <c r="B21" t="str">
        <v>Ocean</v>
      </c>
      <c r="C21" t="str">
        <v>3402940560</v>
      </c>
      <c r="D21" t="str">
        <v>township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https://en.wikipedia.org/wiki/Little_Egg_Harbor_Township,_New_Jersey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Long Beach</v>
      </c>
      <c r="B22" t="str">
        <v>Ocean</v>
      </c>
      <c r="C22" t="str">
        <v>3402941250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https://en.wikipedia.org/wiki/Long_Beach_Township,_New_Jersey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Manchester</v>
      </c>
      <c r="B23" t="str">
        <v>Ocean</v>
      </c>
      <c r="C23" t="str">
        <v>3402943140</v>
      </c>
      <c r="D23" t="str">
        <v>township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https://en.wikipedia.org/wiki/Manchester_Township,_New_Jersey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Mantoloking</v>
      </c>
      <c r="B24" t="str">
        <v>Ocean</v>
      </c>
      <c r="C24" t="str">
        <v>3402943380</v>
      </c>
      <c r="D24" t="str">
        <v>borough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https://en.wikipedia.org/wiki/Mantoloking,_New_Jersey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Ocean</v>
      </c>
      <c r="B25" t="str">
        <v>Ocean</v>
      </c>
      <c r="C25" t="str">
        <v>3402954300</v>
      </c>
      <c r="D25" t="str">
        <v>township</v>
      </c>
      <c r="E25" t="str">
        <v>queued</v>
      </c>
      <c r="F25">
        <v>265</v>
      </c>
      <c r="G25" t="str">
        <v>Clemmy's</v>
      </c>
      <c r="H25">
        <v>45705</v>
      </c>
      <c r="I25" t="str">
        <v>Clemmy's</v>
      </c>
      <c r="J25" t="str">
        <v>https://clemmysrestaurant.com/</v>
      </c>
      <c r="K25" t="str">
        <v>https://en.wikipedia.org/wiki/Ocean_Township,_Ocean_County,_New_Jersey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Ocean Gate</v>
      </c>
      <c r="B26" t="str">
        <v>Ocean</v>
      </c>
      <c r="C26" t="str">
        <v>3402954450</v>
      </c>
      <c r="D26" t="str">
        <v>borough</v>
      </c>
      <c r="E26" t="str">
        <v>queued</v>
      </c>
      <c r="F26">
        <v>182</v>
      </c>
      <c r="G26" t="str">
        <v>Rosie's</v>
      </c>
      <c r="H26">
        <v>45359</v>
      </c>
      <c r="I26" t="str">
        <v>Rosie's</v>
      </c>
      <c r="J26" t="str">
        <v>https://www.rosiesoceangate.com/</v>
      </c>
      <c r="K26" t="str">
        <v>https://en.wikipedia.org/wiki/Ocean_Gate,_New_Jersey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Pine Beach</v>
      </c>
      <c r="B27" t="str">
        <v>Ocean</v>
      </c>
      <c r="C27" t="str">
        <v>3402958590</v>
      </c>
      <c r="D27" t="str">
        <v>borough</v>
      </c>
      <c r="E27" t="str">
        <v>visited</v>
      </c>
      <c r="F27">
        <v>125</v>
      </c>
      <c r="G27" t="str">
        <v>Roy Rogers</v>
      </c>
      <c r="H27">
        <v>45214</v>
      </c>
      <c r="I27">
        <v>0</v>
      </c>
      <c r="J27">
        <v>0</v>
      </c>
      <c r="K27" t="str">
        <v>https://en.wikipedia.org/wiki/Pine_Beach,_New_Jersey</v>
      </c>
      <c r="L27" t="str">
        <v>NJ Town #125: Pine Beach</v>
      </c>
      <c r="M27" t="str">
        <v>https://www.instagram.com/p/DR2SfdwkZFV/</v>
      </c>
      <c r="N27" t="str">
        <v>NJ Town #125: Bonus Town Trivia</v>
      </c>
      <c r="O27" t="str">
        <v>NJ Town #125: Bonus Town Trivia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tr">
        <v>NJ Town #125: Pine Beach</v>
      </c>
      <c r="AG27" t="str">
        <v>https://www.facebook.com/reel/715304104525377</v>
      </c>
      <c r="AH27" t="str">
        <v>NJ Town #125: Bonus Town Trivia</v>
      </c>
      <c r="AI27" t="str">
        <v>https://www.facebook.com/permalink.php?story_fbid=pfbid02dSy8sDqV3KRKrcmMfT7s4QQSUhCRnP12C83dMQzEwsjnDrC7SD24WJSTw49wZ1Vl&amp;id=61569640546791</v>
      </c>
      <c r="AJ27">
        <v>0</v>
      </c>
      <c r="AK27">
        <v>0</v>
      </c>
      <c r="AL27" t="str">
        <v>Town #125</v>
      </c>
      <c r="AM27" t="str">
        <v>https://www.instagram.com/p/DR2SfdwkZFV/</v>
      </c>
      <c r="AN27">
        <v>0</v>
      </c>
      <c r="AO27">
        <v>0</v>
      </c>
      <c r="AP27" t="str">
        <v>Town #125 - Bonus Town Trivia</v>
      </c>
      <c r="AQ27" t="str">
        <v>https://www.instagram.com/p/DSIXszrEXxo/?img_index=1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Plumsted</v>
      </c>
      <c r="B28" t="str">
        <v>Ocean</v>
      </c>
      <c r="C28" t="str">
        <v>3402959790</v>
      </c>
      <c r="D28" t="str">
        <v>township</v>
      </c>
      <c r="E28" t="str">
        <v>pre-challenge</v>
      </c>
      <c r="F28">
        <v>0</v>
      </c>
      <c r="G28" t="str">
        <v>Laurita Winery</v>
      </c>
      <c r="H28">
        <v>41938</v>
      </c>
      <c r="I28" t="str">
        <v>Laurita Winery</v>
      </c>
      <c r="J28" t="str">
        <v>https://lauritawinery.com/</v>
      </c>
      <c r="K28" t="str">
        <v>https://en.wikipedia.org/wiki/Plumsted_Township,_New_Jersey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Point Pleasant</v>
      </c>
      <c r="B29" t="str">
        <v>Ocean</v>
      </c>
      <c r="C29" t="str">
        <v>3402959880</v>
      </c>
      <c r="D29" t="str">
        <v>borough</v>
      </c>
      <c r="E29" t="str">
        <v>visited</v>
      </c>
      <c r="F29">
        <v>101</v>
      </c>
      <c r="G29" t="str">
        <v>Tacoholics</v>
      </c>
      <c r="H29">
        <v>45150</v>
      </c>
      <c r="I29" t="str">
        <v>Tacoholics</v>
      </c>
      <c r="J29" t="str">
        <v>https://www.tacoholicsnj.com/</v>
      </c>
      <c r="K29" t="str">
        <v>https://en.wikipedia.org/wiki/Point_Pleasant,_New_Jersey</v>
      </c>
      <c r="L29" t="str">
        <v>NJ Town #101: Point Pleasant Boro</v>
      </c>
      <c r="M29" t="str">
        <v>https://www.instagram.com/p/DFIsQgHRPJ9/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tr">
        <v>NJ Town #101: Point Pleasant Boro</v>
      </c>
      <c r="AG29" t="str">
        <v>https://www.facebook.com/reel/1120284442713116</v>
      </c>
      <c r="AH29">
        <v>0</v>
      </c>
      <c r="AI29">
        <v>0</v>
      </c>
      <c r="AJ29">
        <v>0</v>
      </c>
      <c r="AK29">
        <v>0</v>
      </c>
      <c r="AL29" t="str">
        <v>Town #101</v>
      </c>
      <c r="AM29" t="str">
        <v>https://www.instagram.com/p/DFIsQgHRPJ9/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Point Pleasant Beach</v>
      </c>
      <c r="B30" t="str">
        <v>Ocean</v>
      </c>
      <c r="C30" t="str">
        <v>3402959910</v>
      </c>
      <c r="D30" t="str">
        <v>borough</v>
      </c>
      <c r="E30" t="str">
        <v>pre-challenge</v>
      </c>
      <c r="F30">
        <v>0</v>
      </c>
      <c r="G30" t="str">
        <v>The Shrimp Box</v>
      </c>
      <c r="H30">
        <v>43001</v>
      </c>
      <c r="I30" t="str">
        <v>The Shrimp Box</v>
      </c>
      <c r="J30" t="str">
        <v>https://theshrimpbox.com/</v>
      </c>
      <c r="K30" t="str">
        <v>https://en.wikipedia.org/wiki/Point_Pleasant_Beach,_New_Jersey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Seaside Heights</v>
      </c>
      <c r="B31" t="str">
        <v>Ocean</v>
      </c>
      <c r="C31" t="str">
        <v>3402966450</v>
      </c>
      <c r="D31" t="str">
        <v>borough</v>
      </c>
      <c r="E31" t="str">
        <v>unvisited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https://en.wikipedia.org/wiki/Seaside_Heights,_New_Jersey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t="str">
        <v>Seaside Park</v>
      </c>
      <c r="B32" t="str">
        <v>Ocean</v>
      </c>
      <c r="C32" t="str">
        <v>3402966480</v>
      </c>
      <c r="D32" t="str">
        <v>borough</v>
      </c>
      <c r="E32" t="str">
        <v>queued</v>
      </c>
      <c r="F32">
        <v>278</v>
      </c>
      <c r="G32" t="str">
        <v>The Sawmill</v>
      </c>
      <c r="H32">
        <v>45860</v>
      </c>
      <c r="I32" t="str">
        <v>The Sawmill</v>
      </c>
      <c r="J32" t="str">
        <v>https://sawmillcafe.com/</v>
      </c>
      <c r="K32" t="str">
        <v>https://en.wikipedia.org/wiki/Seaside_Park,_New_Jersey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t="str">
        <v>Ship Bottom</v>
      </c>
      <c r="B33" t="str">
        <v>Ocean</v>
      </c>
      <c r="C33" t="str">
        <v>3402967110</v>
      </c>
      <c r="D33" t="str">
        <v>borough</v>
      </c>
      <c r="E33" t="str">
        <v>queued</v>
      </c>
      <c r="F33">
        <v>192</v>
      </c>
      <c r="G33" t="str">
        <v>LBI Table</v>
      </c>
      <c r="H33">
        <v>45416</v>
      </c>
      <c r="I33" t="str">
        <v>LBI Table</v>
      </c>
      <c r="J33" t="str">
        <v>https://www.lbitable.com/</v>
      </c>
      <c r="K33" t="str">
        <v>https://en.wikipedia.org/wiki/Ship_Bottom,_New_Jersey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t="str">
        <v>South Toms River</v>
      </c>
      <c r="B34" t="str">
        <v>Ocean</v>
      </c>
      <c r="C34" t="str">
        <v>3402969510</v>
      </c>
      <c r="D34" t="str">
        <v>borough</v>
      </c>
      <c r="E34" t="str">
        <v>queued</v>
      </c>
      <c r="F34">
        <v>165</v>
      </c>
      <c r="G34" t="str">
        <v>And It's Good Stuff</v>
      </c>
      <c r="H34">
        <v>45297</v>
      </c>
      <c r="I34" t="str">
        <v>And It's Good Stuff</v>
      </c>
      <c r="J34" t="str">
        <v>http://anditsgoodstuff.com/</v>
      </c>
      <c r="K34" t="str">
        <v>https://en.wikipedia.org/wiki/South_Toms_River,_New_Jersey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t="str">
        <v>Stafford</v>
      </c>
      <c r="B35" t="str">
        <v>Ocean</v>
      </c>
      <c r="C35" t="str">
        <v>3402970320</v>
      </c>
      <c r="D35" t="str">
        <v>township</v>
      </c>
      <c r="E35" t="str">
        <v>unvisited</v>
      </c>
      <c r="F35">
        <v>0</v>
      </c>
      <c r="G35">
        <v>0</v>
      </c>
      <c r="H35">
        <v>0</v>
      </c>
      <c r="I35">
        <v>0</v>
      </c>
      <c r="J35">
        <v>0</v>
      </c>
      <c r="K35" t="str">
        <v>https://en.wikipedia.org/wiki/Stafford_Township,_New_Jersey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">
      <c r="A36" t="str">
        <v>Surf City</v>
      </c>
      <c r="B36" t="str">
        <v>Ocean</v>
      </c>
      <c r="C36" t="str">
        <v>3402971640</v>
      </c>
      <c r="D36" t="str">
        <v>borough</v>
      </c>
      <c r="E36" t="str">
        <v>unvisited</v>
      </c>
      <c r="F36">
        <v>0</v>
      </c>
      <c r="G36">
        <v>0</v>
      </c>
      <c r="H36">
        <v>0</v>
      </c>
      <c r="I36">
        <v>0</v>
      </c>
      <c r="J36">
        <v>0</v>
      </c>
      <c r="K36" t="str">
        <v>https://en.wikipedia.org/wiki/Surf_City,_New_Jersey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tr">
        <v>Toms River</v>
      </c>
      <c r="B37" t="str">
        <v>Ocean</v>
      </c>
      <c r="C37" t="str">
        <v>3402973125</v>
      </c>
      <c r="D37" t="str">
        <v>township</v>
      </c>
      <c r="E37" t="str">
        <v>pre-challenge</v>
      </c>
      <c r="F37">
        <v>0</v>
      </c>
      <c r="G37" t="str">
        <v>Villa Amalfi</v>
      </c>
      <c r="H37">
        <v>42406</v>
      </c>
      <c r="I37" t="str">
        <v>Villa Amalfi</v>
      </c>
      <c r="J37" t="str">
        <v>https://villaamalfitomsriver.com/</v>
      </c>
      <c r="K37" t="str">
        <v>https://en.wikipedia.org/wiki/Toms_River_Township,_New_Jersey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t="str">
        <v>Tuckerton</v>
      </c>
      <c r="B38" t="str">
        <v>Ocean</v>
      </c>
      <c r="C38" t="str">
        <v>3402974210</v>
      </c>
      <c r="D38" t="str">
        <v>borough</v>
      </c>
      <c r="E38" t="str">
        <v>queued</v>
      </c>
      <c r="F38">
        <v>246</v>
      </c>
      <c r="G38" t="str">
        <v>Dockside Cafe</v>
      </c>
      <c r="H38">
        <v>45606</v>
      </c>
      <c r="I38" t="str">
        <v>Dockside Cafe &amp; Marina</v>
      </c>
      <c r="J38" t="str">
        <v>https://docksidecafenj.com/</v>
      </c>
      <c r="K38" t="str">
        <v>https://en.wikipedia.org/wiki/Tuckerton,_New_Jersey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U21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1743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COUNTIF(Data!B$3:B$602,"Passaic")</f>
        <v>16</v>
      </c>
      <c r="C2" s="19" t="s">
        <v>1724</v>
      </c>
      <c r="D2" s="32">
        <f>COUNTIFS(Data!B$3:B$602,"Passaic",Data!E3:E602,"visited")+COUNTIFS(Data!B$3:B$602,"Passaic",Data!E3:E602,"queued")+COUNTIFS(Data!B$3:B$602,"Passaic",Data!E3:E602,"pre-challenge")</f>
        <v>4</v>
      </c>
      <c r="E2" s="20" t="s">
        <v>1725</v>
      </c>
      <c r="F2" s="33">
        <f>B2-D2</f>
        <v>12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1">_xlfn._xlws.FILTER(Data!A$3:AU$602,Data!B$3:B$602="Passaic","")</f>
        <v>Bloomingdale</v>
      </c>
      <c r="B6" t="str">
        <v>Passaic</v>
      </c>
      <c r="C6" t="str">
        <v>3403106340</v>
      </c>
      <c r="D6" t="str">
        <v>borough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https://en.wikipedia.org/wiki/Bloomingdale,_New_Jersey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Clifton</v>
      </c>
      <c r="B7" t="str">
        <v>Passaic</v>
      </c>
      <c r="C7" t="str">
        <v>3403113690</v>
      </c>
      <c r="D7" t="str">
        <v>city</v>
      </c>
      <c r="E7" t="str">
        <v>pre-challenge</v>
      </c>
      <c r="F7">
        <v>0</v>
      </c>
      <c r="G7" t="str">
        <v>Tick Tock Diner</v>
      </c>
      <c r="H7">
        <v>44767</v>
      </c>
      <c r="I7" t="str">
        <v>Tick Tock Diner</v>
      </c>
      <c r="J7" t="str">
        <v>https://www.ticktockdiner.com/</v>
      </c>
      <c r="K7" t="str">
        <v>https://en.wikipedia.org/wiki/Clifton,_New_Jersey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Haledon</v>
      </c>
      <c r="B8" t="str">
        <v>Passaic</v>
      </c>
      <c r="C8" t="str">
        <v>3403129070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https://en.wikipedia.org/wiki/Haledon,_New_Jersey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Hawthorne</v>
      </c>
      <c r="B9" t="str">
        <v>Passaic</v>
      </c>
      <c r="C9" t="str">
        <v>3403130570</v>
      </c>
      <c r="D9" t="str">
        <v>borough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https://en.wikipedia.org/wiki/Hawthorne,_New_Jersey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Little Falls</v>
      </c>
      <c r="B10" t="str">
        <v>Passaic</v>
      </c>
      <c r="C10" t="str">
        <v>3403140620</v>
      </c>
      <c r="D10" t="str">
        <v>township</v>
      </c>
      <c r="E10" t="str">
        <v>queued</v>
      </c>
      <c r="F10">
        <v>181</v>
      </c>
      <c r="G10" t="str">
        <v>The Falls Kitchen</v>
      </c>
      <c r="H10">
        <v>45347</v>
      </c>
      <c r="I10" t="str">
        <v>The Falls Kitchen</v>
      </c>
      <c r="J10" t="str">
        <v>http://fallskitchen.com/</v>
      </c>
      <c r="K10" t="str">
        <v>https://en.wikipedia.org/wiki/Little_Falls_Township,_New_Jersey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North Haledon</v>
      </c>
      <c r="B11" t="str">
        <v>Passaic</v>
      </c>
      <c r="C11" t="str">
        <v>3403153040</v>
      </c>
      <c r="D11" t="str">
        <v>borough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https://en.wikipedia.org/wiki/North_Haledon,_New_Jersey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Passaic</v>
      </c>
      <c r="B12" t="str">
        <v>Passaic</v>
      </c>
      <c r="C12" t="str">
        <v>3403156550</v>
      </c>
      <c r="D12" t="str">
        <v>city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https://en.wikipedia.org/wiki/Passaic,_New_Jersey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Paterson</v>
      </c>
      <c r="B13" t="str">
        <v>Passaic</v>
      </c>
      <c r="C13" t="str">
        <v>3403157000</v>
      </c>
      <c r="D13" t="str">
        <v>city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https://en.wikipedia.org/wiki/Paterson,_New_Jersey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Pompton Lakes</v>
      </c>
      <c r="B14" t="str">
        <v>Passaic</v>
      </c>
      <c r="C14" t="str">
        <v>3403160090</v>
      </c>
      <c r="D14" t="str">
        <v>borough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https://en.wikipedia.org/wiki/Pompton_Lakes,_New_Jersey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Prospect Park</v>
      </c>
      <c r="B15" t="str">
        <v>Passaic</v>
      </c>
      <c r="C15" t="str">
        <v>3403161170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https://en.wikipedia.org/wiki/Prospect_Park,_New_Jersey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Ringwood</v>
      </c>
      <c r="B16" t="str">
        <v>Passaic</v>
      </c>
      <c r="C16" t="str">
        <v>3403163150</v>
      </c>
      <c r="D16" t="str">
        <v>borough</v>
      </c>
      <c r="E16" t="str">
        <v>queued</v>
      </c>
      <c r="F16">
        <v>230</v>
      </c>
      <c r="G16" t="str">
        <v>Lakeside Diner</v>
      </c>
      <c r="H16">
        <v>45537</v>
      </c>
      <c r="I16" t="str">
        <v>Lakeside Diner</v>
      </c>
      <c r="J16" t="str">
        <v>https://lakesidedinernj.com/</v>
      </c>
      <c r="K16" t="str">
        <v>https://en.wikipedia.org/wiki/Ringwood,_New_Jersey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Totowa</v>
      </c>
      <c r="B17" t="str">
        <v>Passaic</v>
      </c>
      <c r="C17" t="str">
        <v>3403173140</v>
      </c>
      <c r="D17" t="str">
        <v>borough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https://en.wikipedia.org/wiki/Totowa,_New_Jersey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Wanaque</v>
      </c>
      <c r="B18" t="str">
        <v>Passaic</v>
      </c>
      <c r="C18" t="str">
        <v>3403176730</v>
      </c>
      <c r="D18" t="str">
        <v>borough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https://en.wikipedia.org/wiki/Wanaque,_New_Jersey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Wayne</v>
      </c>
      <c r="B19" t="str">
        <v>Passaic</v>
      </c>
      <c r="C19" t="str">
        <v>3403177840</v>
      </c>
      <c r="D19" t="str">
        <v>township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https://en.wikipedia.org/wiki/Wayne_Township,_New_Jersey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West Milford</v>
      </c>
      <c r="B20" t="str">
        <v>Passaic</v>
      </c>
      <c r="C20" t="str">
        <v>3403179460</v>
      </c>
      <c r="D20" t="str">
        <v>township</v>
      </c>
      <c r="E20" t="str">
        <v>queued</v>
      </c>
      <c r="F20">
        <v>231</v>
      </c>
      <c r="G20" t="str">
        <v>D'Boathaus</v>
      </c>
      <c r="H20">
        <v>45537</v>
      </c>
      <c r="I20" t="str">
        <v>D'Boathaus Restaurant</v>
      </c>
      <c r="J20" t="str">
        <v>https://www.dboathaus.com/</v>
      </c>
      <c r="K20" t="str">
        <v>https://en.wikipedia.org/wiki/West_Milford_Township,_New_Jersey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Woodland Park</v>
      </c>
      <c r="B21" t="str">
        <v>Passaic</v>
      </c>
      <c r="C21" t="str">
        <v>3403182423</v>
      </c>
      <c r="D21" t="str">
        <v>borough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https://en.wikipedia.org/wiki/Woodland_Park,_New_Jersey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U20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1744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COUNTIF(Data!B$3:B$602,"Salem")</f>
        <v>15</v>
      </c>
      <c r="C2" s="19" t="s">
        <v>1724</v>
      </c>
      <c r="D2" s="32">
        <f>COUNTIFS(Data!B$3:B$602,"Salem",Data!E3:E602,"visited")+COUNTIFS(Data!B$3:B$602,"Salem",Data!E3:E602,"queued")+COUNTIFS(Data!B$3:B$602,"Salem",Data!E3:E602,"pre-challenge")</f>
        <v>10</v>
      </c>
      <c r="E2" s="20" t="s">
        <v>1725</v>
      </c>
      <c r="F2" s="33">
        <f>B2-D2</f>
        <v>5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0">_xlfn._xlws.FILTER(Data!A$3:AU$602,Data!B$3:B$602="Salem","")</f>
        <v>Alloway</v>
      </c>
      <c r="B6" t="str">
        <v>Salem</v>
      </c>
      <c r="C6" t="str">
        <v>3403300880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https://en.wikipedia.org/wiki/Alloway_Township,_New_Jersey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Carneys Point</v>
      </c>
      <c r="B7" t="str">
        <v>Salem</v>
      </c>
      <c r="C7" t="str">
        <v>3403310610</v>
      </c>
      <c r="D7" t="str">
        <v>township</v>
      </c>
      <c r="E7" t="str">
        <v>queued</v>
      </c>
      <c r="F7">
        <v>264</v>
      </c>
      <c r="G7" t="str">
        <v>Talk of the Towne</v>
      </c>
      <c r="H7">
        <v>45703</v>
      </c>
      <c r="I7" t="str">
        <v>Talk of the Towne</v>
      </c>
      <c r="J7" t="str">
        <v>https://talkofthetownenj.com/</v>
      </c>
      <c r="K7" t="str">
        <v>https://en.wikipedia.org/wiki/Carneys_Point_Township,_New_Jersey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Elmer</v>
      </c>
      <c r="B8" t="str">
        <v>Salem</v>
      </c>
      <c r="C8" t="str">
        <v>3403321240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https://en.wikipedia.org/wiki/Elmer,_New_Jersey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Elsinboro</v>
      </c>
      <c r="B9" t="str">
        <v>Salem</v>
      </c>
      <c r="C9" t="str">
        <v>3403321330</v>
      </c>
      <c r="D9" t="str">
        <v>township</v>
      </c>
      <c r="E9" t="str">
        <v>queued</v>
      </c>
      <c r="F9">
        <v>184</v>
      </c>
      <c r="G9" t="str">
        <v>Seagraves Subs</v>
      </c>
      <c r="H9">
        <v>45388</v>
      </c>
      <c r="I9">
        <v>0</v>
      </c>
      <c r="J9">
        <v>0</v>
      </c>
      <c r="K9" t="str">
        <v>https://en.wikipedia.org/wiki/Elsinboro_Township,_New_Jersey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Lower Alloways Creek</v>
      </c>
      <c r="B10" t="str">
        <v>Salem</v>
      </c>
      <c r="C10" t="str">
        <v>3403341640</v>
      </c>
      <c r="D10" t="str">
        <v>township</v>
      </c>
      <c r="E10" t="str">
        <v>queued</v>
      </c>
      <c r="F10">
        <v>267</v>
      </c>
      <c r="G10" t="str">
        <v>Cedar Creek Pizza &amp; Grill</v>
      </c>
      <c r="H10">
        <v>45768</v>
      </c>
      <c r="I10">
        <v>0</v>
      </c>
      <c r="J10">
        <v>0</v>
      </c>
      <c r="K10" t="str">
        <v>https://en.wikipedia.org/wiki/Lower_Alloways_Creek_Township,_New_Jersey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Mannington</v>
      </c>
      <c r="B11" t="str">
        <v>Salem</v>
      </c>
      <c r="C11" t="str">
        <v>3403343200</v>
      </c>
      <c r="D11" t="str">
        <v>township</v>
      </c>
      <c r="E11" t="str">
        <v>queued</v>
      </c>
      <c r="F11">
        <v>266</v>
      </c>
      <c r="G11" t="str">
        <v>Java Dog Coffee &amp; Tea</v>
      </c>
      <c r="H11">
        <v>45768</v>
      </c>
      <c r="I11">
        <v>0</v>
      </c>
      <c r="J11">
        <v>0</v>
      </c>
      <c r="K11" t="str">
        <v>https://en.wikipedia.org/wiki/Mannington_Township,_New_Jersey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Oldmans</v>
      </c>
      <c r="B12" t="str">
        <v>Salem</v>
      </c>
      <c r="C12" t="str">
        <v>3403354810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https://en.wikipedia.org/wiki/Oldmans_Township,_New_Jersey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Penns Grove</v>
      </c>
      <c r="B13" t="str">
        <v>Salem</v>
      </c>
      <c r="C13" t="str">
        <v>3403357750</v>
      </c>
      <c r="D13" t="str">
        <v>borough</v>
      </c>
      <c r="E13" t="str">
        <v>queued</v>
      </c>
      <c r="F13">
        <v>210</v>
      </c>
      <c r="G13" t="str">
        <v>Taqueria Atexquita</v>
      </c>
      <c r="H13">
        <v>45478</v>
      </c>
      <c r="I13">
        <v>0</v>
      </c>
      <c r="J13">
        <v>0</v>
      </c>
      <c r="K13" t="str">
        <v>https://en.wikipedia.org/wiki/Penns_Grove,_New_Jersey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Pennsville</v>
      </c>
      <c r="B14" t="str">
        <v>Salem</v>
      </c>
      <c r="C14" t="str">
        <v>3403357870</v>
      </c>
      <c r="D14" t="str">
        <v>township</v>
      </c>
      <c r="E14" t="str">
        <v>queued</v>
      </c>
      <c r="F14">
        <v>211</v>
      </c>
      <c r="G14" t="str">
        <v>The Shipyard</v>
      </c>
      <c r="H14">
        <v>45480</v>
      </c>
      <c r="I14" t="str">
        <v>The Shipyard</v>
      </c>
      <c r="J14" t="str">
        <v>https://theshipyardnj.com/</v>
      </c>
      <c r="K14" t="str">
        <v>https://en.wikipedia.org/wiki/Pennsville_Township,_New_Jersey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Pilesgrove</v>
      </c>
      <c r="B15" t="str">
        <v>Salem</v>
      </c>
      <c r="C15" t="str">
        <v>3403358530</v>
      </c>
      <c r="D15" t="str">
        <v>township</v>
      </c>
      <c r="E15" t="str">
        <v>queued</v>
      </c>
      <c r="F15">
        <v>220</v>
      </c>
      <c r="G15" t="str">
        <v>Cowtown Rodeo</v>
      </c>
      <c r="H15">
        <v>45521</v>
      </c>
      <c r="I15" t="str">
        <v>Cowtown Rodeo</v>
      </c>
      <c r="J15" t="str">
        <v>https://cowtownrodeo.com/</v>
      </c>
      <c r="K15" t="str">
        <v>https://en.wikipedia.org/wiki/Pilesgrove_Township,_New_Jersey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Pittsgrove</v>
      </c>
      <c r="B16" t="str">
        <v>Salem</v>
      </c>
      <c r="C16" t="str">
        <v>3403359130</v>
      </c>
      <c r="D16" t="str">
        <v>township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https://en.wikipedia.org/wiki/Pittsgrove_Township,_New_Jersey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Quinton</v>
      </c>
      <c r="B17" t="str">
        <v>Salem</v>
      </c>
      <c r="C17" t="str">
        <v>3403361470</v>
      </c>
      <c r="D17" t="str">
        <v>township</v>
      </c>
      <c r="E17" t="str">
        <v>queued</v>
      </c>
      <c r="F17">
        <v>183</v>
      </c>
      <c r="G17" t="str">
        <v>Comfort Cafe &amp; Bistro</v>
      </c>
      <c r="H17">
        <v>45388</v>
      </c>
      <c r="I17" t="str">
        <v>Comfort Cafe &amp; Bistro</v>
      </c>
      <c r="J17" t="str">
        <v>https://www.comfortcafequinton.com/</v>
      </c>
      <c r="K17" t="str">
        <v>https://en.wikipedia.org/wiki/Quinton_Township,_New_Jersey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Salem</v>
      </c>
      <c r="B18" t="str">
        <v>Salem</v>
      </c>
      <c r="C18" t="str">
        <v>3403365490</v>
      </c>
      <c r="D18" t="str">
        <v>city</v>
      </c>
      <c r="E18" t="str">
        <v>queued</v>
      </c>
      <c r="F18">
        <v>209</v>
      </c>
      <c r="G18" t="str">
        <v>Salem Oak Diner</v>
      </c>
      <c r="H18">
        <v>45478</v>
      </c>
      <c r="I18">
        <v>0</v>
      </c>
      <c r="J18">
        <v>0</v>
      </c>
      <c r="K18" t="str">
        <v>https://en.wikipedia.org/wiki/Salem,_New_Jersey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Upper Pittsgrove</v>
      </c>
      <c r="B19" t="str">
        <v>Salem</v>
      </c>
      <c r="C19" t="str">
        <v>3403375110</v>
      </c>
      <c r="D19" t="str">
        <v>township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https://en.wikipedia.org/wiki/Upper_Pittsgrove_Township,_New_Jersey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Woodstown</v>
      </c>
      <c r="B20" t="str">
        <v>Salem</v>
      </c>
      <c r="C20" t="str">
        <v>3403382720</v>
      </c>
      <c r="D20" t="str">
        <v>borough</v>
      </c>
      <c r="E20" t="str">
        <v>queued</v>
      </c>
      <c r="F20">
        <v>221</v>
      </c>
      <c r="G20" t="str">
        <v>Woodstown Diner</v>
      </c>
      <c r="H20">
        <v>45521</v>
      </c>
      <c r="I20" t="str">
        <v>Woodstown Diner</v>
      </c>
      <c r="J20" t="str">
        <v>https://thewoodstowndiner.com/</v>
      </c>
      <c r="K20" t="str">
        <v>https://en.wikipedia.org/wiki/Woodstown,_New_Jersey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U2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1745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COUNTIF(Data!B$3:B$602,"Somerset")</f>
        <v>21</v>
      </c>
      <c r="C2" s="19" t="s">
        <v>1724</v>
      </c>
      <c r="D2" s="32">
        <f>COUNTIFS(Data!B$3:B$602,"Somerset",Data!E3:E602,"visited")+COUNTIFS(Data!B$3:B$602,"Somerset",Data!E3:E602,"queued")+COUNTIFS(Data!B$3:B$602,"Somerset",Data!E3:E602,"pre-challenge")</f>
        <v>12</v>
      </c>
      <c r="E2" s="20" t="s">
        <v>1725</v>
      </c>
      <c r="F2" s="33">
        <f>B2-D2</f>
        <v>9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6">_xlfn._xlws.FILTER(Data!A$3:AU$602,Data!B$3:B$602="Somerset","")</f>
        <v>Bedminster</v>
      </c>
      <c r="B6" t="str">
        <v>Somerset</v>
      </c>
      <c r="C6" t="str">
        <v>3403504450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https://en.wikipedia.org/wiki/Bedminster_Township,_New_Jersey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Bernards</v>
      </c>
      <c r="B7" t="str">
        <v>Somerset</v>
      </c>
      <c r="C7" t="str">
        <v>3403505560</v>
      </c>
      <c r="D7" t="str">
        <v>township</v>
      </c>
      <c r="E7" t="str">
        <v>pre-challenge</v>
      </c>
      <c r="F7">
        <v>0</v>
      </c>
      <c r="G7" t="str">
        <v>Olde Mill Inn</v>
      </c>
      <c r="H7">
        <v>42861</v>
      </c>
      <c r="I7" t="str">
        <v>Olde Mill Inn</v>
      </c>
      <c r="J7" t="str">
        <v>https://www.oldemillinn.com/</v>
      </c>
      <c r="K7" t="str">
        <v>https://en.wikipedia.org/wiki/Bernards_Township,_New_Jersey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Bernardsville</v>
      </c>
      <c r="B8" t="str">
        <v>Somerset</v>
      </c>
      <c r="C8" t="str">
        <v>3403505590</v>
      </c>
      <c r="D8" t="str">
        <v>borough</v>
      </c>
      <c r="E8" t="str">
        <v>queued</v>
      </c>
      <c r="F8">
        <v>282</v>
      </c>
      <c r="G8" t="str">
        <v>Ristorante MV</v>
      </c>
      <c r="H8">
        <v>45948</v>
      </c>
      <c r="I8" t="str">
        <v>Ristorante MV</v>
      </c>
      <c r="J8" t="str">
        <v>https://www.ristorantemv.com/</v>
      </c>
      <c r="K8" t="str">
        <v>https://en.wikipedia.org/wiki/Bernardsville,_New_Jersey</v>
      </c>
      <c r="L8" t="str">
        <v>NJ Town #282: Bernardsville</v>
      </c>
      <c r="M8" t="str">
        <v>https://www.instagram.com/p/DQDBhbzkdDf/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tr">
        <v>Town #283 - We're HALF WAY THERE!</v>
      </c>
      <c r="AM8" t="str">
        <v>https://www.instagram.com/p/DQDBhbzkdDf/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Bound Brook</v>
      </c>
      <c r="B9" t="str">
        <v>Somerset</v>
      </c>
      <c r="C9" t="str">
        <v>3403506790</v>
      </c>
      <c r="D9" t="str">
        <v>borough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https://en.wikipedia.org/wiki/Bound_Brook,_New_Jersey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Branchburg</v>
      </c>
      <c r="B10" t="str">
        <v>Somerset</v>
      </c>
      <c r="C10" t="str">
        <v>3403507180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https://en.wikipedia.org/wiki/Branchburg_Township,_New_Jersey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Bridgewater</v>
      </c>
      <c r="B11" t="str">
        <v>Somerset</v>
      </c>
      <c r="C11" t="str">
        <v>3403507720</v>
      </c>
      <c r="D11" t="str">
        <v>township</v>
      </c>
      <c r="E11" t="str">
        <v>pre-challenge</v>
      </c>
      <c r="F11">
        <v>0</v>
      </c>
      <c r="G11" t="str">
        <v>Bridgewater Diner</v>
      </c>
      <c r="H11">
        <v>43611</v>
      </c>
      <c r="I11" t="str">
        <v>Bridgewater Diner</v>
      </c>
      <c r="J11" t="str">
        <v>https://www.bridgewaterdiner.com/</v>
      </c>
      <c r="K11" t="str">
        <v>https://en.wikipedia.org/wiki/Bridgewater_Township,_New_Jersey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Far Hills</v>
      </c>
      <c r="B12" t="str">
        <v>Somerset</v>
      </c>
      <c r="C12" t="str">
        <v>3403522890</v>
      </c>
      <c r="D12" t="str">
        <v>borough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https://en.wikipedia.org/wiki/Far_Hills,_New_Jersey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Franklin</v>
      </c>
      <c r="B13" t="str">
        <v>Somerset</v>
      </c>
      <c r="C13" t="str">
        <v>3403524900</v>
      </c>
      <c r="D13" t="str">
        <v>township</v>
      </c>
      <c r="E13" t="str">
        <v>pre-challenge</v>
      </c>
      <c r="F13">
        <v>87</v>
      </c>
      <c r="G13" t="str">
        <v>Sophie's Bistro</v>
      </c>
      <c r="H13">
        <v>45109</v>
      </c>
      <c r="I13" t="str">
        <v>Sophie's Bistro</v>
      </c>
      <c r="J13" t="str">
        <v>https://sophiesbistro.net/</v>
      </c>
      <c r="K13" t="str">
        <v>https://en.wikipedia.org/wiki/Franklin_Township,_Somerset_County,_New_Jersey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Green Brook</v>
      </c>
      <c r="B14" t="str">
        <v>Somerset</v>
      </c>
      <c r="C14" t="str">
        <v>3403527510</v>
      </c>
      <c r="D14" t="str">
        <v>township</v>
      </c>
      <c r="E14" t="str">
        <v>queued</v>
      </c>
      <c r="F14">
        <v>272</v>
      </c>
      <c r="G14" t="str">
        <v>Green Lake Seafood &amp; Dim Sum</v>
      </c>
      <c r="H14">
        <v>45808</v>
      </c>
      <c r="I14">
        <v>0</v>
      </c>
      <c r="J14">
        <v>0</v>
      </c>
      <c r="K14" t="str">
        <v>https://en.wikipedia.org/wiki/Green_Brook_Township,_New_Jersey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Hillsborough</v>
      </c>
      <c r="B15" t="str">
        <v>Somerset</v>
      </c>
      <c r="C15" t="str">
        <v>3403531890</v>
      </c>
      <c r="D15" t="str">
        <v>township</v>
      </c>
      <c r="E15" t="str">
        <v>pre-challenge</v>
      </c>
      <c r="F15">
        <v>0</v>
      </c>
      <c r="G15" t="str">
        <v>Family Member's Home</v>
      </c>
      <c r="H15">
        <v>43756</v>
      </c>
      <c r="I15">
        <v>0</v>
      </c>
      <c r="J15">
        <v>0</v>
      </c>
      <c r="K15" t="str">
        <v>https://en.wikipedia.org/wiki/Hillsborough_Township,_New_Jersey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Manville</v>
      </c>
      <c r="B16" t="str">
        <v>Somerset</v>
      </c>
      <c r="C16" t="str">
        <v>3403543620</v>
      </c>
      <c r="D16" t="str">
        <v>borough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https://en.wikipedia.org/wiki/Manville,_New_Jersey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Millstone</v>
      </c>
      <c r="B17" t="str">
        <v>Somerset</v>
      </c>
      <c r="C17" t="str">
        <v>3403546590</v>
      </c>
      <c r="D17" t="str">
        <v>borough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https://en.wikipedia.org/wiki/Millstone,_Somerset_County,_New_Jersey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Montgomery</v>
      </c>
      <c r="B18" t="str">
        <v>Somerset</v>
      </c>
      <c r="C18" t="str">
        <v>3403547580</v>
      </c>
      <c r="D18" t="str">
        <v>township</v>
      </c>
      <c r="E18" t="str">
        <v>queued</v>
      </c>
      <c r="F18">
        <v>191</v>
      </c>
      <c r="G18" t="str">
        <v>Ricky's Thai</v>
      </c>
      <c r="H18">
        <v>45409</v>
      </c>
      <c r="I18" t="str">
        <v>Ricky's Thai</v>
      </c>
      <c r="J18" t="str">
        <v>https://rickys-thai.com/</v>
      </c>
      <c r="K18" t="str">
        <v>https://en.wikipedia.org/wiki/Montgomery_Township,_New_Jersey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North Plainfield</v>
      </c>
      <c r="B19" t="str">
        <v>Somerset</v>
      </c>
      <c r="C19" t="str">
        <v>3403553280</v>
      </c>
      <c r="D19" t="str">
        <v>borough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https://en.wikipedia.org/wiki/North_Plainfield,_New_Jersey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Peapack and Gladstone</v>
      </c>
      <c r="B20" t="str">
        <v>Somerset</v>
      </c>
      <c r="C20" t="str">
        <v>3403557300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https://en.wikipedia.org/wiki/Peapack_and_Gladstone,_New_Jersey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Raritan</v>
      </c>
      <c r="B21" t="str">
        <v>Somerset</v>
      </c>
      <c r="C21" t="str">
        <v>3403561980</v>
      </c>
      <c r="D21" t="str">
        <v>borough</v>
      </c>
      <c r="E21" t="str">
        <v>queued</v>
      </c>
      <c r="F21">
        <v>168</v>
      </c>
      <c r="G21" t="str">
        <v>Char</v>
      </c>
      <c r="H21">
        <v>45311</v>
      </c>
      <c r="I21" t="str">
        <v>Char Steakhouse</v>
      </c>
      <c r="J21" t="str">
        <v>https://charsteakhouse.com/</v>
      </c>
      <c r="K21" t="str">
        <v>https://en.wikipedia.org/wiki/Raritan,_Somerset_County,_New_Jersey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Rocky Hill</v>
      </c>
      <c r="B22" t="str">
        <v>Somerset</v>
      </c>
      <c r="C22" t="str">
        <v>3403564320</v>
      </c>
      <c r="D22" t="str">
        <v>borough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https://en.wikipedia.org/wiki/Rocky_Hill,_New_Jersey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Somerville</v>
      </c>
      <c r="B23" t="str">
        <v>Somerset</v>
      </c>
      <c r="C23" t="str">
        <v>3403568460</v>
      </c>
      <c r="D23" t="str">
        <v>borough</v>
      </c>
      <c r="E23" t="str">
        <v>pre-challenge</v>
      </c>
      <c r="F23">
        <v>0</v>
      </c>
      <c r="G23" t="str">
        <v>Salted Lime</v>
      </c>
      <c r="H23">
        <v>43822</v>
      </c>
      <c r="I23" t="str">
        <v>Salted Lime Bar &amp; Kitchen</v>
      </c>
      <c r="J23" t="str">
        <v>https://saltedlimerestaurant.com/</v>
      </c>
      <c r="K23" t="str">
        <v>https://en.wikipedia.org/wiki/Somerville,_New_Jersey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South Bound Brook</v>
      </c>
      <c r="B24" t="str">
        <v>Somerset</v>
      </c>
      <c r="C24" t="str">
        <v>3403568730</v>
      </c>
      <c r="D24" t="str">
        <v>borough</v>
      </c>
      <c r="E24" t="str">
        <v>pre-challenge</v>
      </c>
      <c r="F24">
        <v>0</v>
      </c>
      <c r="G24" t="str">
        <v>Ovations</v>
      </c>
      <c r="H24">
        <v>42448</v>
      </c>
      <c r="I24">
        <v>0</v>
      </c>
      <c r="J24">
        <v>0</v>
      </c>
      <c r="K24" t="str">
        <v>https://en.wikipedia.org/wiki/South_Bound_Brook,_New_Jersey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Warren</v>
      </c>
      <c r="B25" t="str">
        <v>Somerset</v>
      </c>
      <c r="C25" t="str">
        <v>3403576940</v>
      </c>
      <c r="D25" t="str">
        <v>township</v>
      </c>
      <c r="E25" t="str">
        <v>queued</v>
      </c>
      <c r="F25">
        <v>169</v>
      </c>
      <c r="G25" t="str">
        <v>Uproot</v>
      </c>
      <c r="H25">
        <v>45312</v>
      </c>
      <c r="I25" t="str">
        <v>Uproot Restaurant</v>
      </c>
      <c r="J25" t="str">
        <v>https://www.uprootrestaurant.com/</v>
      </c>
      <c r="K25" t="str">
        <v>https://en.wikipedia.org/wiki/Warren_Township,_New_Jersey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Watchung</v>
      </c>
      <c r="B26" t="str">
        <v>Somerset</v>
      </c>
      <c r="C26" t="str">
        <v>3403577600</v>
      </c>
      <c r="D26" t="str">
        <v>borough</v>
      </c>
      <c r="E26" t="str">
        <v>visited</v>
      </c>
      <c r="F26">
        <v>94</v>
      </c>
      <c r="G26" t="str">
        <v>POURtuga</v>
      </c>
      <c r="H26">
        <v>45137</v>
      </c>
      <c r="I26" t="str">
        <v>POURtuga Coffee House</v>
      </c>
      <c r="J26" t="str">
        <v>https://pourtuga.com/</v>
      </c>
      <c r="K26" t="str">
        <v>https://en.wikipedia.org/wiki/Watchung,_New_Jersey</v>
      </c>
      <c r="L26" t="str">
        <v>NJ Town #94: Watchung</v>
      </c>
      <c r="M26" t="str">
        <v>https://www.instagram.com/p/DEbcy5JxUk6/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t="str">
        <v>Town #94</v>
      </c>
      <c r="AM26" t="str">
        <v>https://www.instagram.com/p/DEbcy5JxUk6/?img_index=1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29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1746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COUNTIF(Data!B$3:B$602,"Sussex")</f>
        <v>24</v>
      </c>
      <c r="C2" s="19" t="s">
        <v>1724</v>
      </c>
      <c r="D2" s="32">
        <f>COUNTIFS(Data!B$3:B$602,"Sussex",Data!E3:E602,"visited")+COUNTIFS(Data!B$3:B$602,"Sussex",Data!E3:E602,"queued")+COUNTIFS(Data!B$3:B$602,"Sussex",Data!E3:E602,"pre-challenge")</f>
        <v>12</v>
      </c>
      <c r="E2" s="20" t="s">
        <v>1725</v>
      </c>
      <c r="F2" s="33">
        <f>B2-D2</f>
        <v>12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9">_xlfn._xlws.FILTER(Data!A$3:AU$602,Data!B$3:B$602="Sussex","")</f>
        <v>Andover</v>
      </c>
      <c r="B6" t="str">
        <v>Sussex</v>
      </c>
      <c r="C6" t="str">
        <v>3403701330</v>
      </c>
      <c r="D6" t="str">
        <v>borough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https://en.wikipedia.org/wiki/Andover,_New_Jersey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Andover</v>
      </c>
      <c r="B7" t="str">
        <v>Sussex</v>
      </c>
      <c r="C7" t="str">
        <v>3403701360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https://en.wikipedia.org/wiki/Andover_Township,_New_Jersey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Branchville</v>
      </c>
      <c r="B8" t="str">
        <v>Sussex</v>
      </c>
      <c r="C8" t="str">
        <v>3403707300</v>
      </c>
      <c r="D8" t="str">
        <v>borough</v>
      </c>
      <c r="E8" t="str">
        <v>queued</v>
      </c>
      <c r="F8">
        <v>194</v>
      </c>
      <c r="G8" t="str">
        <v>The Barnyard</v>
      </c>
      <c r="H8">
        <v>45435</v>
      </c>
      <c r="I8" t="str">
        <v>The Barnyard</v>
      </c>
      <c r="J8" t="str">
        <v>https://www.thebarnyardnj.com/</v>
      </c>
      <c r="K8" t="str">
        <v>https://en.wikipedia.org/wiki/Branchville,_New_Jersey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Byram</v>
      </c>
      <c r="B9" t="str">
        <v>Sussex</v>
      </c>
      <c r="C9" t="str">
        <v>3403709160</v>
      </c>
      <c r="D9" t="str">
        <v>township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https://en.wikipedia.org/wiki/Byram_Township,_New_Jersey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Frankford</v>
      </c>
      <c r="B10" t="str">
        <v>Sussex</v>
      </c>
      <c r="C10" t="str">
        <v>3403724810</v>
      </c>
      <c r="D10" t="str">
        <v>township</v>
      </c>
      <c r="E10" t="str">
        <v>queued</v>
      </c>
      <c r="F10">
        <v>195</v>
      </c>
      <c r="G10" t="str">
        <v>The Carriage House @ Culver Lake</v>
      </c>
      <c r="H10">
        <v>45439</v>
      </c>
      <c r="I10" t="str">
        <v>The Carriage House at Culver Lake</v>
      </c>
      <c r="J10" t="str">
        <v>http://www.thecarriagehouserestaurant.com/</v>
      </c>
      <c r="K10" t="str">
        <v>https://en.wikipedia.org/wiki/Frankford_Township,_New_Jersey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Franklin</v>
      </c>
      <c r="B11" t="str">
        <v>Sussex</v>
      </c>
      <c r="C11" t="str">
        <v>3403724930</v>
      </c>
      <c r="D11" t="str">
        <v>borough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https://en.wikipedia.org/wiki/Franklin,_Sussex_County,_New_Jersey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Fredon</v>
      </c>
      <c r="B12" t="str">
        <v>Sussex</v>
      </c>
      <c r="C12" t="str">
        <v>3403725140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https://en.wikipedia.org/wiki/Fredon_Township,_New_Jersey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Green</v>
      </c>
      <c r="B13" t="str">
        <v>Sussex</v>
      </c>
      <c r="C13" t="str">
        <v>3403727420</v>
      </c>
      <c r="D13" t="str">
        <v>township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https://en.wikipedia.org/wiki/Green_Township,_New_Jersey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Hamburg</v>
      </c>
      <c r="B14" t="str">
        <v>Sussex</v>
      </c>
      <c r="C14" t="str">
        <v>3403729220</v>
      </c>
      <c r="D14" t="str">
        <v>borough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https://en.wikipedia.org/wiki/Hamburg,_New_Jersey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Hampton</v>
      </c>
      <c r="B15" t="str">
        <v>Sussex</v>
      </c>
      <c r="C15" t="str">
        <v>3403729490</v>
      </c>
      <c r="D15" t="str">
        <v>township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https://en.wikipedia.org/wiki/Hampton_Township,_Sussex_County,_New_Jersey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Hardyston</v>
      </c>
      <c r="B16" t="str">
        <v>Sussex</v>
      </c>
      <c r="C16" t="str">
        <v>3403729850</v>
      </c>
      <c r="D16" t="str">
        <v>township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https://en.wikipedia.org/wiki/Hardyston_Township,_New_Jersey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Hopatcong</v>
      </c>
      <c r="B17" t="str">
        <v>Sussex</v>
      </c>
      <c r="C17" t="str">
        <v>3403732910</v>
      </c>
      <c r="D17" t="str">
        <v>borough</v>
      </c>
      <c r="E17" t="str">
        <v>visited</v>
      </c>
      <c r="F17">
        <v>128</v>
      </c>
      <c r="G17" t="str">
        <v>Hopatcong Diner</v>
      </c>
      <c r="H17">
        <v>45220</v>
      </c>
      <c r="I17" t="str">
        <v>Hopatcong Diner</v>
      </c>
      <c r="J17" t="str">
        <v>https://hopatcongdinernj.com/</v>
      </c>
      <c r="K17" t="str">
        <v>https://en.wikipedia.org/wiki/Hopatcong,_New_Jersey</v>
      </c>
      <c r="L17" t="str">
        <v>NJ Town #128: Hopatcong</v>
      </c>
      <c r="M17" t="str">
        <v>https://www.instagram.com/p/DWJerldEWuT/</v>
      </c>
      <c r="N17" t="str">
        <v>NJ Town #128: Bonus Town Trivia</v>
      </c>
      <c r="O17" t="str">
        <v>https://www.instagram.com/p/DWjmsLEEXb_/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Lafayette</v>
      </c>
      <c r="B18" t="str">
        <v>Sussex</v>
      </c>
      <c r="C18" t="str">
        <v>3403737440</v>
      </c>
      <c r="D18" t="str">
        <v>township</v>
      </c>
      <c r="E18" t="str">
        <v>queued</v>
      </c>
      <c r="F18">
        <v>254</v>
      </c>
      <c r="G18" t="str">
        <v>Millside Cafe</v>
      </c>
      <c r="H18">
        <v>45645</v>
      </c>
      <c r="I18" t="str">
        <v>Millside Cafe</v>
      </c>
      <c r="J18" t="str">
        <v>https://millside-cafe.res-menu.net/</v>
      </c>
      <c r="K18" t="str">
        <v>https://en.wikipedia.org/wiki/Lafayette_Township,_New_Jersey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Montague</v>
      </c>
      <c r="B19" t="str">
        <v>Sussex</v>
      </c>
      <c r="C19" t="str">
        <v>3403747430</v>
      </c>
      <c r="D19" t="str">
        <v>township</v>
      </c>
      <c r="E19" t="str">
        <v>queued</v>
      </c>
      <c r="F19">
        <v>161</v>
      </c>
      <c r="G19" t="str">
        <v>Sandy's Pizza</v>
      </c>
      <c r="H19">
        <v>45289</v>
      </c>
      <c r="I19">
        <v>0</v>
      </c>
      <c r="J19">
        <v>0</v>
      </c>
      <c r="K19" t="str">
        <v>https://en.wikipedia.org/wiki/Montague_Township,_New_Jersey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Newton</v>
      </c>
      <c r="B20" t="str">
        <v>Sussex</v>
      </c>
      <c r="C20" t="str">
        <v>3403751930</v>
      </c>
      <c r="D20" t="str">
        <v>town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https://en.wikipedia.org/wiki/Newton,_New_Jersey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Ogdensburg</v>
      </c>
      <c r="B21" t="str">
        <v>Sussex</v>
      </c>
      <c r="C21" t="str">
        <v>3403754660</v>
      </c>
      <c r="D21" t="str">
        <v>borough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https://en.wikipedia.org/wiki/Ogdensburg,_New_Jersey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Sandyston</v>
      </c>
      <c r="B22" t="str">
        <v>Sussex</v>
      </c>
      <c r="C22" t="str">
        <v>3403765700</v>
      </c>
      <c r="D22" t="str">
        <v>township</v>
      </c>
      <c r="E22" t="str">
        <v>queued</v>
      </c>
      <c r="F22">
        <v>160</v>
      </c>
      <c r="G22" t="str">
        <v>Hainesville General Store</v>
      </c>
      <c r="H22">
        <v>45289</v>
      </c>
      <c r="I22" t="str">
        <v>Hainesville General Store</v>
      </c>
      <c r="J22" t="str">
        <v>https://hgsnj.com/</v>
      </c>
      <c r="K22" t="str">
        <v>https://en.wikipedia.org/wiki/Sandyston_Township,_New_Jersey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Sparta</v>
      </c>
      <c r="B23" t="str">
        <v>Sussex</v>
      </c>
      <c r="C23" t="str">
        <v>3403769690</v>
      </c>
      <c r="D23" t="str">
        <v>township</v>
      </c>
      <c r="E23" t="str">
        <v>visited</v>
      </c>
      <c r="F23">
        <v>127</v>
      </c>
      <c r="G23" t="str">
        <v>il Porto on Lake Mohawk</v>
      </c>
      <c r="H23">
        <v>45220</v>
      </c>
      <c r="I23" t="str">
        <v>iL Porto on Lake Mohawk</v>
      </c>
      <c r="J23" t="str">
        <v>http://www.ristoranteilporto.com/</v>
      </c>
      <c r="K23" t="str">
        <v>https://en.wikipedia.org/wiki/Sparta_Township,_New_Jersey</v>
      </c>
      <c r="L23" t="str">
        <v>NJ Town #127: Sparta</v>
      </c>
      <c r="M23" t="str">
        <v>https://www.instagram.com/p/DVBriqhETIi/</v>
      </c>
      <c r="N23" t="str">
        <v>NJ Town #127: Bonus Town Trivia</v>
      </c>
      <c r="O23" t="str">
        <v>https://www.instagram.com/p/DVUJ7vqEbeQ/?img_index=1</v>
      </c>
      <c r="P23" t="str">
        <v>NJ Town #127: Sparta</v>
      </c>
      <c r="Q23" t="str">
        <v>https://www.facebook.com/reel/2103835743742891</v>
      </c>
      <c r="R23">
        <v>0</v>
      </c>
      <c r="S23">
        <v>0</v>
      </c>
      <c r="T23" t="str">
        <v>NJ Town #127: Sparta</v>
      </c>
      <c r="U23" t="str">
        <v>https://www.facebook.com/reel/2103835743742891</v>
      </c>
      <c r="V23">
        <v>0</v>
      </c>
      <c r="W23">
        <v>0</v>
      </c>
      <c r="X23" t="str">
        <v>NJ Town #127: Sparta</v>
      </c>
      <c r="Y23" t="str">
        <v>https://www.threads.com/@eatjerseychallenge/post/DVBrshREQY4?xmt=AQF0A3RKVhri8cemX6Ysm7aMqQ_Y1_cfqPJqQUWGxT99MQ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tr">
        <v>NJ Town #127: Sparta</v>
      </c>
      <c r="AG23" t="str">
        <v>https://www.facebook.com/reel/2103835743742891</v>
      </c>
      <c r="AH23" t="str">
        <v>NJ Town #127: Bonus Town Trivia</v>
      </c>
      <c r="AI23" t="str">
        <v>https://www.facebook.com/permalink.php?story_fbid=pfbid02K54x1dkR45WLASLhGaRmc8CEv9vtwFPbTbUUZiDig5BKhZmAifGy6khSH62CiFG4l&amp;id=61569640546791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Stanhope</v>
      </c>
      <c r="B24" t="str">
        <v>Sussex</v>
      </c>
      <c r="C24" t="str">
        <v>3403770380</v>
      </c>
      <c r="D24" t="str">
        <v>borough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https://en.wikipedia.org/wiki/Stanhope,_New_Jersey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Stillwater</v>
      </c>
      <c r="B25" t="str">
        <v>Sussex</v>
      </c>
      <c r="C25" t="str">
        <v>3403770890</v>
      </c>
      <c r="D25" t="str">
        <v>township</v>
      </c>
      <c r="E25" t="str">
        <v>queued</v>
      </c>
      <c r="F25">
        <v>173</v>
      </c>
      <c r="G25" t="str">
        <v>Stillwater Cafe</v>
      </c>
      <c r="H25">
        <v>45326</v>
      </c>
      <c r="I25">
        <v>0</v>
      </c>
      <c r="J25">
        <v>0</v>
      </c>
      <c r="K25" t="str">
        <v>https://en.wikipedia.org/wiki/Stillwater_Township,_New_Jersey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Sussex</v>
      </c>
      <c r="B26" t="str">
        <v>Sussex</v>
      </c>
      <c r="C26" t="str">
        <v>3403771670</v>
      </c>
      <c r="D26" t="str">
        <v>borough</v>
      </c>
      <c r="E26" t="str">
        <v>queued</v>
      </c>
      <c r="F26">
        <v>133</v>
      </c>
      <c r="G26" t="str">
        <v>Sasha's Famous Empanadas</v>
      </c>
      <c r="H26">
        <v>45227</v>
      </c>
      <c r="I26">
        <v>0</v>
      </c>
      <c r="J26">
        <v>0</v>
      </c>
      <c r="K26" t="str">
        <v>https://en.wikipedia.org/wiki/Sussex,_New_Jersey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Vernon</v>
      </c>
      <c r="B27" t="str">
        <v>Sussex</v>
      </c>
      <c r="C27" t="str">
        <v>3403775740</v>
      </c>
      <c r="D27" t="str">
        <v>township</v>
      </c>
      <c r="E27" t="str">
        <v>pre-challenge</v>
      </c>
      <c r="F27">
        <v>0</v>
      </c>
      <c r="G27" t="str">
        <v>Dunkin Donuts</v>
      </c>
      <c r="H27">
        <v>44124</v>
      </c>
      <c r="I27" t="str">
        <v>Dunkin'</v>
      </c>
      <c r="J27" t="str">
        <v>https://www.dunkindonuts.com/</v>
      </c>
      <c r="K27" t="str">
        <v>https://en.wikipedia.org/wiki/Vernon_Township,_New_Jersey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Walpack</v>
      </c>
      <c r="B28" t="str">
        <v>Sussex</v>
      </c>
      <c r="C28" t="str">
        <v>3403776640</v>
      </c>
      <c r="D28" t="str">
        <v>township</v>
      </c>
      <c r="E28" t="str">
        <v>queued</v>
      </c>
      <c r="F28">
        <v>174</v>
      </c>
      <c r="G28" t="str">
        <v>Walpack Inn</v>
      </c>
      <c r="H28">
        <v>45326</v>
      </c>
      <c r="I28" t="str">
        <v>The Walpack Inn</v>
      </c>
      <c r="J28" t="str">
        <v>https://www.walpackinn.com/</v>
      </c>
      <c r="K28" t="str">
        <v>https://en.wikipedia.org/wiki/Walpack_Township,_New_Jersey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Wantage</v>
      </c>
      <c r="B29" t="str">
        <v>Sussex</v>
      </c>
      <c r="C29" t="str">
        <v>3403776790</v>
      </c>
      <c r="D29" t="str">
        <v>township</v>
      </c>
      <c r="E29" t="str">
        <v>queued</v>
      </c>
      <c r="F29">
        <v>132</v>
      </c>
      <c r="G29" t="str">
        <v>Sussex Sit n Chat Diner</v>
      </c>
      <c r="H29">
        <v>45227</v>
      </c>
      <c r="I29">
        <v>0</v>
      </c>
      <c r="J29">
        <v>0</v>
      </c>
      <c r="K29" t="str">
        <v>https://en.wikipedia.org/wiki/Wantage_Township,_New_Jersey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U2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1747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COUNTIF(Data!B$3:B$602,"Union")</f>
        <v>21</v>
      </c>
      <c r="C2" s="19" t="s">
        <v>1724</v>
      </c>
      <c r="D2" s="32">
        <f>COUNTIFS(Data!B$3:B$602,"Union",Data!E3:E602,"visited")+COUNTIFS(Data!B$3:B$602,"Union",Data!E3:E602,"queued")+COUNTIFS(Data!B$3:B$602,"Union",Data!E3:E602,"pre-challenge")</f>
        <v>10</v>
      </c>
      <c r="E2" s="20" t="s">
        <v>1725</v>
      </c>
      <c r="F2" s="33">
        <f>B2-D2</f>
        <v>11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6">_xlfn._xlws.FILTER(Data!A$3:AU$602,Data!B$3:B$602="Union","")</f>
        <v>Berkeley Heights</v>
      </c>
      <c r="B6" t="str">
        <v>Union</v>
      </c>
      <c r="C6" t="str">
        <v>3403905320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https://en.wikipedia.org/wiki/Berkeley_Heights_Township,_New_Jersey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Clark</v>
      </c>
      <c r="B7" t="str">
        <v>Union</v>
      </c>
      <c r="C7" t="str">
        <v>3403913150</v>
      </c>
      <c r="D7" t="str">
        <v>township</v>
      </c>
      <c r="E7" t="str">
        <v>queued</v>
      </c>
      <c r="F7">
        <v>252</v>
      </c>
      <c r="G7" t="str">
        <v>White Diamond</v>
      </c>
      <c r="H7">
        <v>45636</v>
      </c>
      <c r="I7">
        <v>0</v>
      </c>
      <c r="J7">
        <v>0</v>
      </c>
      <c r="K7" t="str">
        <v>https://en.wikipedia.org/wiki/Clark_Township,_New_Jersey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Cranford</v>
      </c>
      <c r="B8" t="str">
        <v>Union</v>
      </c>
      <c r="C8" t="str">
        <v>3403915640</v>
      </c>
      <c r="D8" t="str">
        <v>township</v>
      </c>
      <c r="E8" t="str">
        <v>pre-challenge</v>
      </c>
      <c r="F8">
        <v>0</v>
      </c>
      <c r="G8" t="str">
        <v>Friend's House</v>
      </c>
      <c r="H8">
        <v>44205</v>
      </c>
      <c r="I8">
        <v>0</v>
      </c>
      <c r="J8">
        <v>0</v>
      </c>
      <c r="K8" t="str">
        <v>https://en.wikipedia.org/wiki/Cranford_Township,_New_Jersey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Elizabeth</v>
      </c>
      <c r="B9" t="str">
        <v>Union</v>
      </c>
      <c r="C9" t="str">
        <v>3403921000</v>
      </c>
      <c r="D9" t="str">
        <v>city</v>
      </c>
      <c r="E9" t="str">
        <v>pre-challenge</v>
      </c>
      <c r="F9">
        <v>0</v>
      </c>
      <c r="G9" t="str">
        <v>Ikea</v>
      </c>
      <c r="H9">
        <v>42862</v>
      </c>
      <c r="I9" t="str">
        <v>IKEA</v>
      </c>
      <c r="J9" t="str">
        <v>https://www.ikea.com/us/en/stores/elizabeth/</v>
      </c>
      <c r="K9" t="str">
        <v>https://en.wikipedia.org/wiki/Elizabeth,_New_Jersey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Fanwood</v>
      </c>
      <c r="B10" t="str">
        <v>Union</v>
      </c>
      <c r="C10" t="str">
        <v>3403922860</v>
      </c>
      <c r="D10" t="str">
        <v>borough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https://en.wikipedia.org/wiki/Fanwood,_New_Jersey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Garwood</v>
      </c>
      <c r="B11" t="str">
        <v>Union</v>
      </c>
      <c r="C11" t="str">
        <v>3403925800</v>
      </c>
      <c r="D11" t="str">
        <v>borough</v>
      </c>
      <c r="E11" t="str">
        <v>queued</v>
      </c>
      <c r="F11">
        <v>180</v>
      </c>
      <c r="G11" t="str">
        <v>A Cozy Corner Cuban Bistro</v>
      </c>
      <c r="H11">
        <v>45345</v>
      </c>
      <c r="I11">
        <v>0</v>
      </c>
      <c r="J11">
        <v>0</v>
      </c>
      <c r="K11" t="str">
        <v>https://en.wikipedia.org/wiki/Garwood,_New_Jersey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Hillside</v>
      </c>
      <c r="B12" t="str">
        <v>Union</v>
      </c>
      <c r="C12" t="str">
        <v>3403931980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https://en.wikipedia.org/wiki/Hillside_Township,_New_Jersey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Kenilworth</v>
      </c>
      <c r="B13" t="str">
        <v>Union</v>
      </c>
      <c r="C13" t="str">
        <v>3403936690</v>
      </c>
      <c r="D13" t="str">
        <v>borough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https://en.wikipedia.org/wiki/Kenilworth,_New_Jersey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Linden</v>
      </c>
      <c r="B14" t="str">
        <v>Union</v>
      </c>
      <c r="C14" t="str">
        <v>3403940350</v>
      </c>
      <c r="D14" t="str">
        <v>city</v>
      </c>
      <c r="E14" t="str">
        <v>queued</v>
      </c>
      <c r="F14">
        <v>166</v>
      </c>
      <c r="G14" t="str">
        <v>Abigail's Restaurant</v>
      </c>
      <c r="H14">
        <v>44935</v>
      </c>
      <c r="I14" t="str">
        <v>Abigail's Restaurant</v>
      </c>
      <c r="J14" t="str">
        <v>https://abigailsnjrestaurant.com/</v>
      </c>
      <c r="K14" t="str">
        <v>https://en.wikipedia.org/wiki/Linden,_New_Jersey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Mountainside</v>
      </c>
      <c r="B15" t="str">
        <v>Union</v>
      </c>
      <c r="C15" t="str">
        <v>3403948510</v>
      </c>
      <c r="D15" t="str">
        <v>borough</v>
      </c>
      <c r="E15" t="str">
        <v>pre-challenge</v>
      </c>
      <c r="F15">
        <v>0</v>
      </c>
      <c r="G15" t="str">
        <v>Watchung Reservation - Family BBQ</v>
      </c>
      <c r="H15">
        <v>44702</v>
      </c>
      <c r="I15">
        <v>0</v>
      </c>
      <c r="J15">
        <v>0</v>
      </c>
      <c r="K15" t="str">
        <v>https://en.wikipedia.org/wiki/Mountainside,_New_Jersey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New Providence</v>
      </c>
      <c r="B16" t="str">
        <v>Union</v>
      </c>
      <c r="C16" t="str">
        <v>3403951810</v>
      </c>
      <c r="D16" t="str">
        <v>borough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https://en.wikipedia.org/wiki/New_Providence,_New_Jersey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Plainfield</v>
      </c>
      <c r="B17" t="str">
        <v>Union</v>
      </c>
      <c r="C17" t="str">
        <v>3403959190</v>
      </c>
      <c r="D17" t="str">
        <v>city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https://en.wikipedia.org/wiki/Plainfield,_New_Jersey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Rahway</v>
      </c>
      <c r="B18" t="str">
        <v>Union</v>
      </c>
      <c r="C18" t="str">
        <v>3403961530</v>
      </c>
      <c r="D18" t="str">
        <v>city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https://en.wikipedia.org/wiki/Rahway,_New_Jersey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Roselle</v>
      </c>
      <c r="B19" t="str">
        <v>Union</v>
      </c>
      <c r="C19" t="str">
        <v>3403964620</v>
      </c>
      <c r="D19" t="str">
        <v>borough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https://en.wikipedia.org/wiki/Roselle,_New_Jersey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Roselle Park</v>
      </c>
      <c r="B20" t="str">
        <v>Union</v>
      </c>
      <c r="C20" t="str">
        <v>3403964650</v>
      </c>
      <c r="D20" t="str">
        <v>borough</v>
      </c>
      <c r="E20" t="str">
        <v>queued</v>
      </c>
      <c r="F20">
        <v>139</v>
      </c>
      <c r="G20" t="str">
        <v>House 157</v>
      </c>
      <c r="H20">
        <v>45244</v>
      </c>
      <c r="I20" t="str">
        <v>House 157</v>
      </c>
      <c r="J20" t="str">
        <v>https://house157.com/</v>
      </c>
      <c r="K20" t="str">
        <v>https://en.wikipedia.org/wiki/Roselle_Park,_New_Jersey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Scotch Plains</v>
      </c>
      <c r="B21" t="str">
        <v>Union</v>
      </c>
      <c r="C21" t="str">
        <v>3403966060</v>
      </c>
      <c r="D21" t="str">
        <v>township</v>
      </c>
      <c r="E21" t="str">
        <v>queued</v>
      </c>
      <c r="F21">
        <v>241</v>
      </c>
      <c r="G21" t="str">
        <v>Stage House Tavern</v>
      </c>
      <c r="H21">
        <v>45583</v>
      </c>
      <c r="I21" t="str">
        <v>Stage House Tavern</v>
      </c>
      <c r="J21" t="str">
        <v>https://stagehousetavern.com/scotchplains/</v>
      </c>
      <c r="K21" t="str">
        <v>https://en.wikipedia.org/wiki/Scotch_Plains_Township,_New_Jersey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Springfield</v>
      </c>
      <c r="B22" t="str">
        <v>Union</v>
      </c>
      <c r="C22" t="str">
        <v>3403970020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https://en.wikipedia.org/wiki/Springfield_Township,_Union_County,_New_Jersey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Summit</v>
      </c>
      <c r="B23" t="str">
        <v>Union</v>
      </c>
      <c r="C23" t="str">
        <v>3403971430</v>
      </c>
      <c r="D23" t="str">
        <v>city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https://en.wikipedia.org/wiki/Summit,_New_Jersey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Union</v>
      </c>
      <c r="B24" t="str">
        <v>Union</v>
      </c>
      <c r="C24" t="str">
        <v>3403974480</v>
      </c>
      <c r="D24" t="str">
        <v>township</v>
      </c>
      <c r="E24" t="str">
        <v>visited</v>
      </c>
      <c r="F24">
        <v>120</v>
      </c>
      <c r="G24" t="str">
        <v>Peruvian Flavors</v>
      </c>
      <c r="H24">
        <v>45204</v>
      </c>
      <c r="I24">
        <v>0</v>
      </c>
      <c r="J24">
        <v>0</v>
      </c>
      <c r="K24" t="str">
        <v>https://en.wikipedia.org/wiki/Union_Township,_Union_County,_New_Jersey</v>
      </c>
      <c r="L24" t="str">
        <v>NJ Town #120: Union</v>
      </c>
      <c r="M24" t="str">
        <v>https://www.instagram.com/p/DMp00ITR77n/</v>
      </c>
      <c r="N24" t="str">
        <v>NJ Town #120: Bonus Town Trivia</v>
      </c>
      <c r="O24" t="str">
        <v>https://www.instagram.com/p/DM-9HJSxuFF/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t="str">
        <v>Town #120</v>
      </c>
      <c r="AM24" t="str">
        <v>https://www.instagram.com/p/DMp00ITR77n/</v>
      </c>
      <c r="AN24">
        <v>0</v>
      </c>
      <c r="AO24">
        <v>0</v>
      </c>
      <c r="AP24" t="str">
        <v>Town #120 - Bonus Town Trivia</v>
      </c>
      <c r="AQ24" t="str">
        <v>https://www.instagram.com/p/DM-9HJSxuFF/?img_index=1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Westfield</v>
      </c>
      <c r="B25" t="str">
        <v>Union</v>
      </c>
      <c r="C25" t="str">
        <v>3403979040</v>
      </c>
      <c r="D25" t="str">
        <v>town</v>
      </c>
      <c r="E25" t="str">
        <v>queued</v>
      </c>
      <c r="F25">
        <v>290</v>
      </c>
      <c r="G25" t="str">
        <v>1958 Cuban Cuisine</v>
      </c>
      <c r="H25">
        <v>46229</v>
      </c>
      <c r="I25" t="str">
        <v>1958 Cuban Cuisine</v>
      </c>
      <c r="J25" t="str">
        <v>https://www.1958cubancuisine.com/</v>
      </c>
      <c r="K25" t="str">
        <v>https://en.wikipedia.org/wiki/Westfield,_New_Jersey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Winfield</v>
      </c>
      <c r="B26" t="str">
        <v>Union</v>
      </c>
      <c r="C26" t="str">
        <v>3403981650</v>
      </c>
      <c r="D26" t="str">
        <v>township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https://en.wikipedia.org/wiki/Winfield_Township,_New_Jersey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U27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6" t="s">
        <v>1748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 spans="1:47" ht="20" customHeight="1" x14ac:dyDescent="0.2">
      <c r="A2" s="18" t="s">
        <v>1723</v>
      </c>
      <c r="B2" s="31">
        <f>COUNTIF(Data!B$3:B$602,"Warren")</f>
        <v>22</v>
      </c>
      <c r="C2" s="19" t="s">
        <v>1724</v>
      </c>
      <c r="D2" s="32">
        <f>COUNTIFS(Data!B$3:B$602,"Warren",Data!E3:E602,"visited")+COUNTIFS(Data!B$3:B$602,"Warren",Data!E3:E602,"queued")+COUNTIFS(Data!B$3:B$602,"Warren",Data!E3:E602,"pre-challenge")</f>
        <v>12</v>
      </c>
      <c r="E2" s="20" t="s">
        <v>1725</v>
      </c>
      <c r="F2" s="33">
        <f>B2-D2</f>
        <v>10</v>
      </c>
    </row>
    <row r="3" spans="1:47" ht="8" customHeight="1" x14ac:dyDescent="0.2"/>
    <row r="4" spans="1:47" ht="18" customHeight="1" x14ac:dyDescent="0.2">
      <c r="A4" s="74" t="s">
        <v>0</v>
      </c>
      <c r="B4" s="75"/>
      <c r="C4" s="75"/>
      <c r="D4" s="73"/>
      <c r="E4" s="78" t="s">
        <v>1</v>
      </c>
      <c r="F4" s="75"/>
      <c r="G4" s="75"/>
      <c r="H4" s="73"/>
      <c r="I4" s="72" t="s">
        <v>2</v>
      </c>
      <c r="J4" s="73"/>
      <c r="K4" s="1" t="s">
        <v>3</v>
      </c>
      <c r="L4" s="81" t="s">
        <v>4</v>
      </c>
      <c r="M4" s="75"/>
      <c r="N4" s="75"/>
      <c r="O4" s="73"/>
      <c r="P4" s="82" t="s">
        <v>5</v>
      </c>
      <c r="Q4" s="75"/>
      <c r="R4" s="75"/>
      <c r="S4" s="73"/>
      <c r="T4" s="83" t="s">
        <v>6</v>
      </c>
      <c r="U4" s="75"/>
      <c r="V4" s="75"/>
      <c r="W4" s="73"/>
      <c r="X4" s="77" t="s">
        <v>7</v>
      </c>
      <c r="Y4" s="75"/>
      <c r="Z4" s="75"/>
      <c r="AA4" s="73"/>
      <c r="AB4" s="79" t="s">
        <v>8</v>
      </c>
      <c r="AC4" s="75"/>
      <c r="AD4" s="75"/>
      <c r="AE4" s="73"/>
      <c r="AF4" s="80" t="s">
        <v>9</v>
      </c>
      <c r="AG4" s="75"/>
      <c r="AH4" s="75"/>
      <c r="AI4" s="73"/>
      <c r="AJ4" s="76" t="s">
        <v>10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3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7">_xlfn._xlws.FILTER(Data!A$3:AU$602,Data!B$3:B$602="Warren","")</f>
        <v>Allamuchy</v>
      </c>
      <c r="B6" t="str">
        <v>Warren</v>
      </c>
      <c r="C6" t="str">
        <v>3404100670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https://en.wikipedia.org/wiki/Allamuchy_Township,_New_Jersey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Alpha</v>
      </c>
      <c r="B7" t="str">
        <v>Warren</v>
      </c>
      <c r="C7" t="str">
        <v>3404101030</v>
      </c>
      <c r="D7" t="str">
        <v>borough</v>
      </c>
      <c r="E7" t="str">
        <v>queued</v>
      </c>
      <c r="F7">
        <v>140</v>
      </c>
      <c r="G7" t="str">
        <v>Alpha Family Restaurant</v>
      </c>
      <c r="H7">
        <v>45248</v>
      </c>
      <c r="I7" t="str">
        <v>Alpha Family Restaurant</v>
      </c>
      <c r="J7">
        <v>0</v>
      </c>
      <c r="K7" t="str">
        <v>https://en.wikipedia.org/wiki/Alpha,_New_Jersey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Belvidere</v>
      </c>
      <c r="B8" t="str">
        <v>Warren</v>
      </c>
      <c r="C8" t="str">
        <v>3404104990</v>
      </c>
      <c r="D8" t="str">
        <v>town</v>
      </c>
      <c r="E8" t="str">
        <v>queued</v>
      </c>
      <c r="F8">
        <v>236</v>
      </c>
      <c r="G8" t="str">
        <v>Uncle Buck's Diner</v>
      </c>
      <c r="H8">
        <v>45571</v>
      </c>
      <c r="I8" t="str">
        <v>Uncle Buck's Diner</v>
      </c>
      <c r="J8">
        <v>0</v>
      </c>
      <c r="K8" t="str">
        <v>https://en.wikipedia.org/wiki/Belvidere,_New_Jersey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Blairstown</v>
      </c>
      <c r="B9" t="str">
        <v>Warren</v>
      </c>
      <c r="C9" t="str">
        <v>3404106160</v>
      </c>
      <c r="D9" t="str">
        <v>township</v>
      </c>
      <c r="E9" t="str">
        <v>visited</v>
      </c>
      <c r="F9">
        <v>123</v>
      </c>
      <c r="G9" t="str">
        <v>Buck Hill Brewery &amp; Restaurant</v>
      </c>
      <c r="H9">
        <v>45212</v>
      </c>
      <c r="I9" t="str">
        <v>Buck Hill Brewery &amp; Restaurant</v>
      </c>
      <c r="J9" t="str">
        <v>https://buckhillbrewery.com/</v>
      </c>
      <c r="K9" t="str">
        <v>https://en.wikipedia.org/wiki/Blairstown_Township,_New_Jersey</v>
      </c>
      <c r="L9" t="str">
        <v>NJ Town #123: Blairstown</v>
      </c>
      <c r="M9" t="str">
        <v>https://www.instagram.com/p/DQo0IldESTD/</v>
      </c>
      <c r="N9" t="str">
        <v>NJ Town #123: Bonus Town Trivia</v>
      </c>
      <c r="O9" t="str">
        <v>https://www.instagram.com/p/DQ5er_aETGV/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t="str">
        <v>Town #123</v>
      </c>
      <c r="AM9" t="str">
        <v>https://www.instagram.com/p/DQo0IldESTD/</v>
      </c>
      <c r="AN9">
        <v>0</v>
      </c>
      <c r="AO9">
        <v>0</v>
      </c>
      <c r="AP9" t="str">
        <v>Town #123 - Bonus Town Trivia</v>
      </c>
      <c r="AQ9" t="str">
        <v>https://www.instagram.com/p/DQ5er_aETGV/?img_index=1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Franklin</v>
      </c>
      <c r="B10" t="str">
        <v>Warren</v>
      </c>
      <c r="C10" t="str">
        <v>3404124960</v>
      </c>
      <c r="D10" t="str">
        <v>township</v>
      </c>
      <c r="E10" t="str">
        <v>queued</v>
      </c>
      <c r="F10">
        <v>145</v>
      </c>
      <c r="G10" t="str">
        <v>Asbury Coffee Mill</v>
      </c>
      <c r="H10">
        <v>45255</v>
      </c>
      <c r="I10" t="str">
        <v>Asbury Coffee Mill</v>
      </c>
      <c r="J10" t="str">
        <v>http://www.asburycoffeemill.com/</v>
      </c>
      <c r="K10" t="str">
        <v>https://en.wikipedia.org/wiki/Franklin_Township,_Warren_County,_New_Jersey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Frelinghuysen</v>
      </c>
      <c r="B11" t="str">
        <v>Warren</v>
      </c>
      <c r="C11" t="str">
        <v>3404125320</v>
      </c>
      <c r="D11" t="str">
        <v>township</v>
      </c>
      <c r="E11" t="str">
        <v>queued</v>
      </c>
      <c r="F11">
        <v>277</v>
      </c>
      <c r="G11" t="str">
        <v>In-house Restaurant and Bar</v>
      </c>
      <c r="H11">
        <v>45851</v>
      </c>
      <c r="I11" t="str">
        <v>Inhouse Restaurant and Bar</v>
      </c>
      <c r="J11" t="str">
        <v>https://www.inhouserestaurantandbar.com/</v>
      </c>
      <c r="K11" t="str">
        <v>https://en.wikipedia.org/wiki/Frelinghuysen_Township,_New_Jersey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Greenwich</v>
      </c>
      <c r="B12" t="str">
        <v>Warren</v>
      </c>
      <c r="C12" t="str">
        <v>3404128260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https://en.wikipedia.org/wiki/Greenwich_Township,_Warren_County,_New_Jersey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Hackettstown</v>
      </c>
      <c r="B13" t="str">
        <v>Warren</v>
      </c>
      <c r="C13" t="str">
        <v>3404128710</v>
      </c>
      <c r="D13" t="str">
        <v>town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https://en.wikipedia.org/wiki/Hackettstown,_New_Jersey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Hardwick</v>
      </c>
      <c r="B14" t="str">
        <v>Warren</v>
      </c>
      <c r="C14" t="str">
        <v>3404129820</v>
      </c>
      <c r="D14" t="str">
        <v>township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https://en.wikipedia.org/wiki/Hardwick_Township,_New_Jersey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Harmony</v>
      </c>
      <c r="B15" t="str">
        <v>Warren</v>
      </c>
      <c r="C15" t="str">
        <v>3404130090</v>
      </c>
      <c r="D15" t="str">
        <v>township</v>
      </c>
      <c r="E15" t="str">
        <v>queued</v>
      </c>
      <c r="F15">
        <v>238</v>
      </c>
      <c r="G15" t="str">
        <v>Tipton's Tavern</v>
      </c>
      <c r="H15">
        <v>45571</v>
      </c>
      <c r="I15" t="str">
        <v>Tipton's Tavern</v>
      </c>
      <c r="J15" t="str">
        <v>https://www.tiptonstavern.com/</v>
      </c>
      <c r="K15" t="str">
        <v>https://en.wikipedia.org/wiki/Harmony_Township,_New_Jersey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Hope</v>
      </c>
      <c r="B16" t="str">
        <v>Warren</v>
      </c>
      <c r="C16" t="str">
        <v>3404133060</v>
      </c>
      <c r="D16" t="str">
        <v>township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https://en.wikipedia.org/wiki/Hope_Township,_New_Jersey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Independence</v>
      </c>
      <c r="B17" t="str">
        <v>Warren</v>
      </c>
      <c r="C17" t="str">
        <v>3404133930</v>
      </c>
      <c r="D17" t="str">
        <v>township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https://en.wikipedia.org/wiki/Independence_Township,_New_Jersey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Knowlton</v>
      </c>
      <c r="B18" t="str">
        <v>Warren</v>
      </c>
      <c r="C18" t="str">
        <v>3404137320</v>
      </c>
      <c r="D18" t="str">
        <v>township</v>
      </c>
      <c r="E18" t="str">
        <v>queued</v>
      </c>
      <c r="F18">
        <v>269</v>
      </c>
      <c r="G18" t="str">
        <v>The Log Cabin Bar &amp; Grill</v>
      </c>
      <c r="H18">
        <v>45772</v>
      </c>
      <c r="I18" t="str">
        <v>The Log Cabin Bar &amp; Grill</v>
      </c>
      <c r="J18" t="str">
        <v>https://www.thelogcabinbargrill.com/</v>
      </c>
      <c r="K18" t="str">
        <v>https://en.wikipedia.org/wiki/Knowlton_Township,_New_Jersey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Liberty</v>
      </c>
      <c r="B19" t="str">
        <v>Warren</v>
      </c>
      <c r="C19" t="str">
        <v>3404140110</v>
      </c>
      <c r="D19" t="str">
        <v>township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https://en.wikipedia.org/wiki/Liberty_Township,_New_Jersey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Lopatcong</v>
      </c>
      <c r="B20" t="str">
        <v>Warren</v>
      </c>
      <c r="C20" t="str">
        <v>3404141490</v>
      </c>
      <c r="D20" t="str">
        <v>township</v>
      </c>
      <c r="E20" t="str">
        <v>queued</v>
      </c>
      <c r="F20">
        <v>146</v>
      </c>
      <c r="G20" t="str">
        <v>Acasia Thai Restaurant</v>
      </c>
      <c r="H20">
        <v>45255</v>
      </c>
      <c r="I20" t="str">
        <v>Acasia Thai Restaurant</v>
      </c>
      <c r="J20" t="str">
        <v>https://acasiathairestaurant.com/</v>
      </c>
      <c r="K20" t="str">
        <v>https://en.wikipedia.org/wiki/Lopatcong_Township,_New_Jersey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Mansfield</v>
      </c>
      <c r="B21" t="str">
        <v>Warren</v>
      </c>
      <c r="C21" t="str">
        <v>3404143320</v>
      </c>
      <c r="D21" t="str">
        <v>township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https://en.wikipedia.org/wiki/Mansfield_Township,_Warren_County,_New_Jersey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Oxford</v>
      </c>
      <c r="B22" t="str">
        <v>Warren</v>
      </c>
      <c r="C22" t="str">
        <v>3404155530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https://en.wikipedia.org/wiki/Oxford_Township,_New_Jersey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Phillipsburg</v>
      </c>
      <c r="B23" t="str">
        <v>Warren</v>
      </c>
      <c r="C23" t="str">
        <v>3404158350</v>
      </c>
      <c r="D23" t="str">
        <v>town</v>
      </c>
      <c r="E23" t="str">
        <v>queued</v>
      </c>
      <c r="F23">
        <v>142</v>
      </c>
      <c r="G23" t="str">
        <v>Amasi Restaurant</v>
      </c>
      <c r="H23">
        <v>45248</v>
      </c>
      <c r="I23" t="str">
        <v>Amasi Restaurant</v>
      </c>
      <c r="J23" t="str">
        <v>https://www.amasirestaurant.com/</v>
      </c>
      <c r="K23" t="str">
        <v>https://en.wikipedia.org/wiki/Phillipsburg,_New_Jersey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Pohatcong</v>
      </c>
      <c r="B24" t="str">
        <v>Warren</v>
      </c>
      <c r="C24" t="str">
        <v>3404159820</v>
      </c>
      <c r="D24" t="str">
        <v>township</v>
      </c>
      <c r="E24" t="str">
        <v>queued</v>
      </c>
      <c r="F24">
        <v>141</v>
      </c>
      <c r="G24" t="str">
        <v>Dunkin Donuts</v>
      </c>
      <c r="H24">
        <v>45248</v>
      </c>
      <c r="I24">
        <v>0</v>
      </c>
      <c r="J24">
        <v>0</v>
      </c>
      <c r="K24" t="str">
        <v>https://en.wikipedia.org/wiki/Pohatcong_Township,_New_Jersey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Washington</v>
      </c>
      <c r="B25" t="str">
        <v>Warren</v>
      </c>
      <c r="C25" t="str">
        <v>3404177270</v>
      </c>
      <c r="D25" t="str">
        <v>borough</v>
      </c>
      <c r="E25" t="str">
        <v>queued</v>
      </c>
      <c r="F25">
        <v>244</v>
      </c>
      <c r="G25" t="str">
        <v>Le Crepe Cafe</v>
      </c>
      <c r="H25">
        <v>45599</v>
      </c>
      <c r="I25" t="str">
        <v>Le Crêpe Café</v>
      </c>
      <c r="J25" t="str">
        <v>https://www.lecrepecafe.com/</v>
      </c>
      <c r="K25" t="str">
        <v>https://en.wikipedia.org/wiki/Washington,_Warren_County,_New_Jersey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Washington</v>
      </c>
      <c r="B26" t="str">
        <v>Warren</v>
      </c>
      <c r="C26" t="str">
        <v>3404177300</v>
      </c>
      <c r="D26" t="str">
        <v>township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https://en.wikipedia.org/wiki/Washington_Township,_Warren_County,_New_Jersey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White</v>
      </c>
      <c r="B27" t="str">
        <v>Warren</v>
      </c>
      <c r="C27" t="str">
        <v>3404180570</v>
      </c>
      <c r="D27" t="str">
        <v>township</v>
      </c>
      <c r="E27" t="str">
        <v>queued</v>
      </c>
      <c r="F27">
        <v>237</v>
      </c>
      <c r="G27" t="str">
        <v>Hot Dog Johnny's</v>
      </c>
      <c r="H27">
        <v>45571</v>
      </c>
      <c r="I27" t="str">
        <v>Hot Dog Johnny's</v>
      </c>
      <c r="J27" t="str">
        <v>https://hotdogjohnny.com/</v>
      </c>
      <c r="K27" t="str">
        <v>https://en.wikipedia.org/wiki/White_Township,_New_Jersey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75"/>
  <sheetViews>
    <sheetView workbookViewId="0"/>
  </sheetViews>
  <sheetFormatPr baseColWidth="10" defaultColWidth="8.83203125" defaultRowHeight="15" x14ac:dyDescent="0.2"/>
  <cols>
    <col min="1" max="1" width="26" customWidth="1"/>
    <col min="2" max="2" width="16" customWidth="1"/>
    <col min="3" max="3" width="65" customWidth="1"/>
  </cols>
  <sheetData>
    <row r="1" spans="1:3" ht="14" customHeight="1" x14ac:dyDescent="0.2"/>
    <row r="2" spans="1:3" ht="20" customHeight="1" x14ac:dyDescent="0.2">
      <c r="A2" s="87" t="s">
        <v>1749</v>
      </c>
      <c r="B2" s="85"/>
      <c r="C2" s="85"/>
    </row>
    <row r="4" spans="1:3" ht="20" customHeight="1" x14ac:dyDescent="0.2">
      <c r="A4" s="87" t="s">
        <v>1750</v>
      </c>
      <c r="B4" s="85"/>
      <c r="C4" s="85"/>
    </row>
    <row r="5" spans="1:3" x14ac:dyDescent="0.2">
      <c r="A5" s="34" t="s">
        <v>68</v>
      </c>
      <c r="B5" s="35"/>
      <c r="C5" s="36" t="s">
        <v>1751</v>
      </c>
    </row>
    <row r="6" spans="1:3" x14ac:dyDescent="0.2">
      <c r="A6" s="34" t="s">
        <v>83</v>
      </c>
      <c r="B6" s="35"/>
      <c r="C6" s="36" t="s">
        <v>1752</v>
      </c>
    </row>
    <row r="7" spans="1:3" x14ac:dyDescent="0.2">
      <c r="A7" s="34" t="s">
        <v>72</v>
      </c>
      <c r="B7" s="35"/>
      <c r="C7" s="36" t="s">
        <v>1753</v>
      </c>
    </row>
    <row r="8" spans="1:3" x14ac:dyDescent="0.2">
      <c r="A8" s="34" t="s">
        <v>62</v>
      </c>
      <c r="B8" s="35"/>
      <c r="C8" s="36" t="s">
        <v>1754</v>
      </c>
    </row>
    <row r="10" spans="1:3" ht="20" customHeight="1" x14ac:dyDescent="0.2">
      <c r="A10" s="87" t="s">
        <v>1755</v>
      </c>
      <c r="B10" s="85"/>
      <c r="C10" s="85"/>
    </row>
    <row r="11" spans="1:3" ht="16" customHeight="1" x14ac:dyDescent="0.2">
      <c r="A11" s="37" t="s">
        <v>1756</v>
      </c>
      <c r="B11" s="38"/>
      <c r="C11" s="39" t="s">
        <v>1757</v>
      </c>
    </row>
    <row r="12" spans="1:3" ht="16" customHeight="1" x14ac:dyDescent="0.2">
      <c r="A12" s="37" t="s">
        <v>1758</v>
      </c>
      <c r="B12" s="38"/>
      <c r="C12" s="39" t="s">
        <v>1759</v>
      </c>
    </row>
    <row r="13" spans="1:3" ht="16" customHeight="1" x14ac:dyDescent="0.2">
      <c r="A13" s="37" t="s">
        <v>1760</v>
      </c>
      <c r="B13" s="38"/>
      <c r="C13" s="39" t="s">
        <v>1761</v>
      </c>
    </row>
    <row r="14" spans="1:3" ht="16" customHeight="1" x14ac:dyDescent="0.2">
      <c r="A14" s="37" t="s">
        <v>1762</v>
      </c>
      <c r="B14" s="38"/>
      <c r="C14" s="39" t="s">
        <v>1763</v>
      </c>
    </row>
    <row r="15" spans="1:3" ht="16" customHeight="1" x14ac:dyDescent="0.2">
      <c r="A15" s="37" t="s">
        <v>1764</v>
      </c>
      <c r="B15" s="38"/>
      <c r="C15" s="39" t="s">
        <v>1765</v>
      </c>
    </row>
    <row r="16" spans="1:3" ht="16" customHeight="1" x14ac:dyDescent="0.2">
      <c r="A16" s="37" t="s">
        <v>1764</v>
      </c>
      <c r="B16" s="38"/>
      <c r="C16" s="39" t="s">
        <v>1766</v>
      </c>
    </row>
    <row r="18" spans="1:3" ht="20" customHeight="1" x14ac:dyDescent="0.2">
      <c r="A18" s="87" t="s">
        <v>1767</v>
      </c>
      <c r="B18" s="85"/>
      <c r="C18" s="85"/>
    </row>
    <row r="19" spans="1:3" ht="14" customHeight="1" x14ac:dyDescent="0.2">
      <c r="A19" s="40" t="s">
        <v>11</v>
      </c>
      <c r="B19" s="40" t="s">
        <v>1768</v>
      </c>
      <c r="C19" s="41" t="s">
        <v>1769</v>
      </c>
    </row>
    <row r="20" spans="1:3" ht="14" customHeight="1" x14ac:dyDescent="0.2">
      <c r="A20" s="40" t="s">
        <v>12</v>
      </c>
      <c r="B20" s="40" t="s">
        <v>1770</v>
      </c>
      <c r="C20" s="41" t="s">
        <v>1771</v>
      </c>
    </row>
    <row r="21" spans="1:3" ht="14" customHeight="1" x14ac:dyDescent="0.2">
      <c r="A21" s="40" t="s">
        <v>13</v>
      </c>
      <c r="B21" s="40" t="s">
        <v>1770</v>
      </c>
      <c r="C21" s="41" t="s">
        <v>1772</v>
      </c>
    </row>
    <row r="22" spans="1:3" ht="14" customHeight="1" x14ac:dyDescent="0.2">
      <c r="A22" s="40" t="s">
        <v>14</v>
      </c>
      <c r="B22" s="40" t="s">
        <v>1773</v>
      </c>
      <c r="C22" s="41" t="s">
        <v>1774</v>
      </c>
    </row>
    <row r="23" spans="1:3" ht="14" customHeight="1" x14ac:dyDescent="0.2">
      <c r="A23" s="42" t="s">
        <v>15</v>
      </c>
      <c r="B23" s="42" t="s">
        <v>1775</v>
      </c>
      <c r="C23" s="43" t="s">
        <v>1776</v>
      </c>
    </row>
    <row r="24" spans="1:3" ht="14" customHeight="1" x14ac:dyDescent="0.2">
      <c r="A24" s="42" t="s">
        <v>16</v>
      </c>
      <c r="B24" s="42" t="s">
        <v>1773</v>
      </c>
      <c r="C24" s="43" t="s">
        <v>1777</v>
      </c>
    </row>
    <row r="25" spans="1:3" ht="14" customHeight="1" x14ac:dyDescent="0.2">
      <c r="A25" s="42" t="s">
        <v>17</v>
      </c>
      <c r="B25" s="42" t="s">
        <v>1778</v>
      </c>
      <c r="C25" s="43" t="s">
        <v>1779</v>
      </c>
    </row>
    <row r="26" spans="1:3" ht="14" customHeight="1" x14ac:dyDescent="0.2">
      <c r="A26" s="42" t="s">
        <v>18</v>
      </c>
      <c r="B26" s="42" t="s">
        <v>1773</v>
      </c>
      <c r="C26" s="43" t="s">
        <v>1780</v>
      </c>
    </row>
    <row r="27" spans="1:3" ht="14" customHeight="1" x14ac:dyDescent="0.2">
      <c r="A27" s="44" t="s">
        <v>19</v>
      </c>
      <c r="B27" s="44" t="s">
        <v>1781</v>
      </c>
      <c r="C27" s="45" t="s">
        <v>1782</v>
      </c>
    </row>
    <row r="28" spans="1:3" ht="14" customHeight="1" x14ac:dyDescent="0.2">
      <c r="A28" s="44" t="s">
        <v>20</v>
      </c>
      <c r="B28" s="44" t="s">
        <v>1783</v>
      </c>
      <c r="C28" s="45" t="s">
        <v>1784</v>
      </c>
    </row>
    <row r="29" spans="1:3" ht="14" customHeight="1" x14ac:dyDescent="0.2">
      <c r="A29" s="46" t="s">
        <v>21</v>
      </c>
      <c r="B29" s="46" t="s">
        <v>1783</v>
      </c>
      <c r="C29" s="47" t="s">
        <v>1785</v>
      </c>
    </row>
    <row r="30" spans="1:3" ht="14" customHeight="1" x14ac:dyDescent="0.2">
      <c r="A30" s="48" t="s">
        <v>22</v>
      </c>
      <c r="B30" s="48" t="s">
        <v>1781</v>
      </c>
      <c r="C30" s="49" t="s">
        <v>1786</v>
      </c>
    </row>
    <row r="31" spans="1:3" ht="14" customHeight="1" x14ac:dyDescent="0.2">
      <c r="A31" s="48" t="s">
        <v>23</v>
      </c>
      <c r="B31" s="48" t="s">
        <v>1783</v>
      </c>
      <c r="C31" s="49" t="s">
        <v>1787</v>
      </c>
    </row>
    <row r="32" spans="1:3" ht="14" customHeight="1" x14ac:dyDescent="0.2">
      <c r="A32" s="48" t="s">
        <v>24</v>
      </c>
      <c r="B32" s="48" t="s">
        <v>1781</v>
      </c>
      <c r="C32" s="49" t="s">
        <v>1788</v>
      </c>
    </row>
    <row r="33" spans="1:3" ht="14" customHeight="1" x14ac:dyDescent="0.2">
      <c r="A33" s="48" t="s">
        <v>25</v>
      </c>
      <c r="B33" s="48" t="s">
        <v>1783</v>
      </c>
      <c r="C33" s="49" t="s">
        <v>1789</v>
      </c>
    </row>
    <row r="34" spans="1:3" ht="14" customHeight="1" x14ac:dyDescent="0.2">
      <c r="A34" s="50" t="s">
        <v>26</v>
      </c>
      <c r="B34" s="50" t="s">
        <v>1781</v>
      </c>
      <c r="C34" s="51" t="s">
        <v>1790</v>
      </c>
    </row>
    <row r="35" spans="1:3" ht="14" customHeight="1" x14ac:dyDescent="0.2">
      <c r="A35" s="50" t="s">
        <v>27</v>
      </c>
      <c r="B35" s="50" t="s">
        <v>1783</v>
      </c>
      <c r="C35" s="51" t="s">
        <v>1791</v>
      </c>
    </row>
    <row r="36" spans="1:3" ht="14" customHeight="1" x14ac:dyDescent="0.2">
      <c r="A36" s="50" t="s">
        <v>28</v>
      </c>
      <c r="B36" s="50" t="s">
        <v>1781</v>
      </c>
      <c r="C36" s="51" t="s">
        <v>1792</v>
      </c>
    </row>
    <row r="37" spans="1:3" ht="14" customHeight="1" x14ac:dyDescent="0.2">
      <c r="A37" s="50" t="s">
        <v>29</v>
      </c>
      <c r="B37" s="50" t="s">
        <v>1783</v>
      </c>
      <c r="C37" s="51" t="s">
        <v>1793</v>
      </c>
    </row>
    <row r="38" spans="1:3" ht="14" customHeight="1" x14ac:dyDescent="0.2">
      <c r="A38" s="52" t="s">
        <v>30</v>
      </c>
      <c r="B38" s="52" t="s">
        <v>1781</v>
      </c>
      <c r="C38" s="53" t="s">
        <v>1794</v>
      </c>
    </row>
    <row r="39" spans="1:3" ht="14" customHeight="1" x14ac:dyDescent="0.2">
      <c r="A39" s="52" t="s">
        <v>31</v>
      </c>
      <c r="B39" s="52" t="s">
        <v>1783</v>
      </c>
      <c r="C39" s="53" t="s">
        <v>1795</v>
      </c>
    </row>
    <row r="40" spans="1:3" ht="14" customHeight="1" x14ac:dyDescent="0.2">
      <c r="A40" s="52" t="s">
        <v>32</v>
      </c>
      <c r="B40" s="52" t="s">
        <v>1781</v>
      </c>
      <c r="C40" s="53" t="s">
        <v>1796</v>
      </c>
    </row>
    <row r="41" spans="1:3" ht="14" customHeight="1" x14ac:dyDescent="0.2">
      <c r="A41" s="52" t="s">
        <v>33</v>
      </c>
      <c r="B41" s="52" t="s">
        <v>1783</v>
      </c>
      <c r="C41" s="53" t="s">
        <v>1797</v>
      </c>
    </row>
    <row r="42" spans="1:3" ht="14" customHeight="1" x14ac:dyDescent="0.2">
      <c r="A42" s="54" t="s">
        <v>34</v>
      </c>
      <c r="B42" s="54" t="s">
        <v>1781</v>
      </c>
      <c r="C42" s="55" t="s">
        <v>1798</v>
      </c>
    </row>
    <row r="43" spans="1:3" ht="14" customHeight="1" x14ac:dyDescent="0.2">
      <c r="A43" s="54" t="s">
        <v>35</v>
      </c>
      <c r="B43" s="54" t="s">
        <v>1783</v>
      </c>
      <c r="C43" s="55" t="s">
        <v>1799</v>
      </c>
    </row>
    <row r="44" spans="1:3" ht="14" customHeight="1" x14ac:dyDescent="0.2">
      <c r="A44" s="54" t="s">
        <v>36</v>
      </c>
      <c r="B44" s="54" t="s">
        <v>1781</v>
      </c>
      <c r="C44" s="55" t="s">
        <v>1800</v>
      </c>
    </row>
    <row r="45" spans="1:3" ht="14" customHeight="1" x14ac:dyDescent="0.2">
      <c r="A45" s="54" t="s">
        <v>37</v>
      </c>
      <c r="B45" s="54" t="s">
        <v>1783</v>
      </c>
      <c r="C45" s="55" t="s">
        <v>1801</v>
      </c>
    </row>
    <row r="46" spans="1:3" ht="14" customHeight="1" x14ac:dyDescent="0.2">
      <c r="A46" s="56" t="s">
        <v>38</v>
      </c>
      <c r="B46" s="56" t="s">
        <v>1781</v>
      </c>
      <c r="C46" s="57" t="s">
        <v>1802</v>
      </c>
    </row>
    <row r="47" spans="1:3" ht="14" customHeight="1" x14ac:dyDescent="0.2">
      <c r="A47" s="56" t="s">
        <v>39</v>
      </c>
      <c r="B47" s="56" t="s">
        <v>1783</v>
      </c>
      <c r="C47" s="57" t="s">
        <v>1803</v>
      </c>
    </row>
    <row r="48" spans="1:3" ht="14" customHeight="1" x14ac:dyDescent="0.2">
      <c r="A48" s="56" t="s">
        <v>40</v>
      </c>
      <c r="B48" s="56" t="s">
        <v>1781</v>
      </c>
      <c r="C48" s="57" t="s">
        <v>1804</v>
      </c>
    </row>
    <row r="49" spans="1:3" ht="14" customHeight="1" x14ac:dyDescent="0.2">
      <c r="A49" s="56" t="s">
        <v>41</v>
      </c>
      <c r="B49" s="56" t="s">
        <v>1783</v>
      </c>
      <c r="C49" s="57" t="s">
        <v>1805</v>
      </c>
    </row>
    <row r="50" spans="1:3" ht="14" customHeight="1" x14ac:dyDescent="0.2">
      <c r="A50" s="58" t="s">
        <v>42</v>
      </c>
      <c r="B50" s="58" t="s">
        <v>1781</v>
      </c>
      <c r="C50" s="59" t="s">
        <v>1806</v>
      </c>
    </row>
    <row r="51" spans="1:3" ht="14" customHeight="1" x14ac:dyDescent="0.2">
      <c r="A51" s="58" t="s">
        <v>43</v>
      </c>
      <c r="B51" s="58" t="s">
        <v>1783</v>
      </c>
      <c r="C51" s="59" t="s">
        <v>1807</v>
      </c>
    </row>
    <row r="52" spans="1:3" ht="14" customHeight="1" x14ac:dyDescent="0.2">
      <c r="A52" s="58" t="s">
        <v>44</v>
      </c>
      <c r="B52" s="58" t="s">
        <v>1781</v>
      </c>
      <c r="C52" s="59" t="s">
        <v>1808</v>
      </c>
    </row>
    <row r="53" spans="1:3" ht="14" customHeight="1" x14ac:dyDescent="0.2">
      <c r="A53" s="58" t="s">
        <v>45</v>
      </c>
      <c r="B53" s="58" t="s">
        <v>1783</v>
      </c>
      <c r="C53" s="59" t="s">
        <v>1809</v>
      </c>
    </row>
    <row r="54" spans="1:3" ht="14" customHeight="1" x14ac:dyDescent="0.2">
      <c r="A54" s="60" t="s">
        <v>46</v>
      </c>
      <c r="B54" s="60" t="s">
        <v>1775</v>
      </c>
      <c r="C54" s="61" t="s">
        <v>1810</v>
      </c>
    </row>
    <row r="55" spans="1:3" ht="14" customHeight="1" x14ac:dyDescent="0.2">
      <c r="A55" s="60" t="s">
        <v>47</v>
      </c>
      <c r="B55" s="60" t="s">
        <v>1770</v>
      </c>
      <c r="C55" s="61" t="s">
        <v>1811</v>
      </c>
    </row>
    <row r="56" spans="1:3" ht="14" customHeight="1" x14ac:dyDescent="0.2">
      <c r="A56" s="60" t="s">
        <v>48</v>
      </c>
      <c r="B56" s="60" t="s">
        <v>1781</v>
      </c>
      <c r="C56" s="61" t="s">
        <v>1812</v>
      </c>
    </row>
    <row r="57" spans="1:3" ht="14" customHeight="1" x14ac:dyDescent="0.2">
      <c r="A57" s="60" t="s">
        <v>49</v>
      </c>
      <c r="B57" s="60" t="s">
        <v>1783</v>
      </c>
      <c r="C57" s="61" t="s">
        <v>1813</v>
      </c>
    </row>
    <row r="58" spans="1:3" ht="14" customHeight="1" x14ac:dyDescent="0.2">
      <c r="A58" s="60" t="s">
        <v>50</v>
      </c>
      <c r="B58" s="60" t="s">
        <v>1775</v>
      </c>
      <c r="C58" s="61" t="s">
        <v>1814</v>
      </c>
    </row>
    <row r="59" spans="1:3" ht="14" customHeight="1" x14ac:dyDescent="0.2">
      <c r="A59" s="60" t="s">
        <v>51</v>
      </c>
      <c r="B59" s="60" t="s">
        <v>1770</v>
      </c>
      <c r="C59" s="61" t="s">
        <v>1815</v>
      </c>
    </row>
    <row r="60" spans="1:3" ht="14" customHeight="1" x14ac:dyDescent="0.2">
      <c r="A60" s="60" t="s">
        <v>52</v>
      </c>
      <c r="B60" s="60" t="s">
        <v>1781</v>
      </c>
      <c r="C60" s="61" t="s">
        <v>1816</v>
      </c>
    </row>
    <row r="61" spans="1:3" ht="14" customHeight="1" x14ac:dyDescent="0.2">
      <c r="A61" s="60" t="s">
        <v>53</v>
      </c>
      <c r="B61" s="60" t="s">
        <v>1783</v>
      </c>
      <c r="C61" s="61" t="s">
        <v>1813</v>
      </c>
    </row>
    <row r="62" spans="1:3" ht="14" customHeight="1" x14ac:dyDescent="0.2">
      <c r="A62" s="60" t="s">
        <v>54</v>
      </c>
      <c r="B62" s="60" t="s">
        <v>1775</v>
      </c>
      <c r="C62" s="61" t="s">
        <v>1817</v>
      </c>
    </row>
    <row r="63" spans="1:3" ht="14" customHeight="1" x14ac:dyDescent="0.2">
      <c r="A63" s="60" t="s">
        <v>55</v>
      </c>
      <c r="B63" s="60" t="s">
        <v>1770</v>
      </c>
      <c r="C63" s="61" t="s">
        <v>1815</v>
      </c>
    </row>
    <row r="64" spans="1:3" ht="14" customHeight="1" x14ac:dyDescent="0.2">
      <c r="A64" s="60" t="s">
        <v>56</v>
      </c>
      <c r="B64" s="60" t="s">
        <v>1781</v>
      </c>
      <c r="C64" s="61" t="s">
        <v>1818</v>
      </c>
    </row>
    <row r="65" spans="1:3" ht="14" customHeight="1" x14ac:dyDescent="0.2">
      <c r="A65" s="60" t="s">
        <v>57</v>
      </c>
      <c r="B65" s="60" t="s">
        <v>1783</v>
      </c>
      <c r="C65" s="61" t="s">
        <v>1813</v>
      </c>
    </row>
    <row r="67" spans="1:3" ht="20" customHeight="1" x14ac:dyDescent="0.2">
      <c r="A67" s="87" t="s">
        <v>1819</v>
      </c>
      <c r="B67" s="85"/>
      <c r="C67" s="85"/>
    </row>
    <row r="68" spans="1:3" ht="16" customHeight="1" x14ac:dyDescent="0.2">
      <c r="A68" s="62" t="s">
        <v>1820</v>
      </c>
      <c r="B68" s="63"/>
      <c r="C68" s="64" t="s">
        <v>1821</v>
      </c>
    </row>
    <row r="69" spans="1:3" ht="16" customHeight="1" x14ac:dyDescent="0.2">
      <c r="A69" s="62" t="s">
        <v>1822</v>
      </c>
      <c r="B69" s="63"/>
      <c r="C69" s="64" t="s">
        <v>1823</v>
      </c>
    </row>
    <row r="70" spans="1:3" ht="16" customHeight="1" x14ac:dyDescent="0.2">
      <c r="A70" s="62" t="s">
        <v>1824</v>
      </c>
      <c r="B70" s="63"/>
      <c r="C70" s="64" t="s">
        <v>1825</v>
      </c>
    </row>
    <row r="71" spans="1:3" ht="16" customHeight="1" x14ac:dyDescent="0.2">
      <c r="A71" s="62" t="s">
        <v>1826</v>
      </c>
      <c r="B71" s="63"/>
      <c r="C71" s="64" t="s">
        <v>1827</v>
      </c>
    </row>
    <row r="72" spans="1:3" ht="16" customHeight="1" x14ac:dyDescent="0.2">
      <c r="A72" s="62" t="s">
        <v>1828</v>
      </c>
      <c r="B72" s="63"/>
      <c r="C72" s="64" t="s">
        <v>1829</v>
      </c>
    </row>
    <row r="73" spans="1:3" ht="16" customHeight="1" x14ac:dyDescent="0.2">
      <c r="A73" s="62" t="s">
        <v>1828</v>
      </c>
      <c r="B73" s="63"/>
      <c r="C73" s="64" t="s">
        <v>1830</v>
      </c>
    </row>
    <row r="74" spans="1:3" ht="16" customHeight="1" x14ac:dyDescent="0.2">
      <c r="A74" s="62" t="s">
        <v>1828</v>
      </c>
      <c r="B74" s="63"/>
      <c r="C74" s="64" t="s">
        <v>1831</v>
      </c>
    </row>
    <row r="75" spans="1:3" ht="16" customHeight="1" x14ac:dyDescent="0.2">
      <c r="A75" s="62" t="s">
        <v>1828</v>
      </c>
      <c r="B75" s="63"/>
      <c r="C75" s="64" t="s">
        <v>1832</v>
      </c>
    </row>
  </sheetData>
  <mergeCells count="5">
    <mergeCell ref="A10:C10"/>
    <mergeCell ref="A18:C18"/>
    <mergeCell ref="A67:C67"/>
    <mergeCell ref="A4:C4"/>
    <mergeCell ref="A2:C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Data</vt:lpstr>
      <vt:lpstr>Summary</vt:lpstr>
      <vt:lpstr>Atlantic</vt:lpstr>
      <vt:lpstr>Bergen</vt:lpstr>
      <vt:lpstr>Burlington</vt:lpstr>
      <vt:lpstr>Camden</vt:lpstr>
      <vt:lpstr>Cape May</vt:lpstr>
      <vt:lpstr>Cumberland</vt:lpstr>
      <vt:lpstr>Essex</vt:lpstr>
      <vt:lpstr>Gloucester</vt:lpstr>
      <vt:lpstr>Hudson</vt:lpstr>
      <vt:lpstr>Hunterdon</vt:lpstr>
      <vt:lpstr>Mercer</vt:lpstr>
      <vt:lpstr>Middlesex</vt:lpstr>
      <vt:lpstr>Monmouth</vt:lpstr>
      <vt:lpstr>Morris</vt:lpstr>
      <vt:lpstr>Ocean</vt:lpstr>
      <vt:lpstr>Passaic</vt:lpstr>
      <vt:lpstr>Salem</vt:lpstr>
      <vt:lpstr>Somerset</vt:lpstr>
      <vt:lpstr>Sussex</vt:lpstr>
      <vt:lpstr>Union</vt:lpstr>
      <vt:lpstr>Warren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Laudati</cp:lastModifiedBy>
  <dcterms:created xsi:type="dcterms:W3CDTF">2026-04-06T19:40:02Z</dcterms:created>
  <dcterms:modified xsi:type="dcterms:W3CDTF">2026-08-18T20:42:15Z</dcterms:modified>
</cp:coreProperties>
</file>