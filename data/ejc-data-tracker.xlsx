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6AFB267A-5ED4-3241-B590-570237C82767}" xr6:coauthVersionLast="47" xr6:coauthVersionMax="47" xr10:uidLastSave="{00000000-0000-0000-0000-000000000000}"/>
  <bookViews>
    <workbookView xWindow="20900" yWindow="-28180" windowWidth="256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A6" i="22" s="1" a="1"/>
  <c r="A6" i="22" s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8" i="1"/>
  <c r="K149" i="1"/>
  <c r="K150" i="1"/>
  <c r="K151" i="1"/>
  <c r="K152" i="1"/>
  <c r="K153" i="1"/>
  <c r="K154" i="1"/>
  <c r="K155" i="1"/>
  <c r="K156" i="1"/>
  <c r="K157" i="1"/>
  <c r="K158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5" i="1"/>
  <c r="K186" i="1"/>
  <c r="K187" i="1"/>
  <c r="K188" i="1"/>
  <c r="K189" i="1"/>
  <c r="K190" i="1"/>
  <c r="K191" i="1"/>
  <c r="K192" i="1"/>
  <c r="K193" i="1"/>
  <c r="K196" i="1"/>
  <c r="K199" i="1"/>
  <c r="K200" i="1"/>
  <c r="K201" i="1"/>
  <c r="K202" i="1"/>
  <c r="K203" i="1"/>
  <c r="K204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0" i="1"/>
  <c r="K231" i="1"/>
  <c r="A6" i="23" s="1" a="1"/>
  <c r="A6" i="23" s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5" i="1"/>
  <c r="K316" i="1"/>
  <c r="K317" i="1"/>
  <c r="K318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3" i="1"/>
  <c r="A6" i="21" a="1"/>
  <c r="A6" i="21" s="1"/>
  <c r="A6" i="17" a="1"/>
  <c r="A6" i="17" s="1"/>
  <c r="A6" i="16" a="1"/>
  <c r="A6" i="16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A6" i="15" l="1" a="1"/>
  <c r="A6" i="15" s="1"/>
  <c r="A6" i="18" a="1"/>
  <c r="A6" i="18" s="1"/>
  <c r="A6" i="20" a="1"/>
  <c r="A6" i="20" s="1"/>
  <c r="A6" i="19" a="1"/>
  <c r="A6" i="19" s="1"/>
  <c r="E12" i="2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<sst xmlns="http://schemas.openxmlformats.org/spreadsheetml/2006/main" count="4714" uniqueCount="1561">
  <si>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</si>
  <si>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</si>
  <si>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</si>
  <si>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</si>
  <si>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</si>
  <si>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</si>
  <si>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</si>
  <si>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</si>
  <si>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</si>
  <si>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</si>
  <si>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</si>
  <si>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</si>
  <si>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</si>
  <si>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</si>
  <si>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</si>
  <si>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</si>
  <si>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</si>
  <si>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</si>
  <si>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</si>
  <si>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</si>
  <si>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</si>
  <si>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</si>
  <si>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</si>
  <si>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</si>
  <si>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</si>
  <si>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</si>
  <si>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</si>
  <si>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</si>
  <si>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</si>
  <si>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</si>
  <si>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</si>
  <si>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</si>
  <si>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</si>
  <si>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</si>
  <si>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</si>
  <si>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</si>
  <si>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</si>
  <si>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</si>
  <si>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</si>
  <si>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</si>
  <si>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</si>
  <si>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</si>
  <si>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</si>
  <si>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</si>
  <si>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</si>
  <si>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</si>
  <si>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</si>
  <si>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</si>
  <si>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</si>
  <si>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</si>
  <si>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</si>
  <si>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</si>
  <si>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</si>
  <si>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</si>
  <si>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</si>
  <si>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</si>
  <si>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</si>
  <si>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</si>
  <si>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</si>
  <si>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</si>
  <si>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</si>
  <si>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</si>
  <si>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</si>
  <si>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</si>
  <si>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</si>
  <si>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</si>
  <si>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</si>
  <si>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</si>
  <si>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</si>
  <si>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</si>
  <si>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</si>
  <si>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</si>
  <si>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</si>
  <si>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</si>
  <si>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</si>
  <si>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</si>
  <si>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</si>
  <si>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</si>
  <si>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</si>
  <si>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</si>
  <si>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</si>
  <si>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</si>
  <si>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</si>
  <si>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</si>
  <si>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</si>
  <si>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</si>
  <si>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</si>
  <si>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</si>
  <si>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</si>
  <si>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</si>
  <si>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</si>
  <si>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</si>
  <si>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</si>
  <si>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</si>
  <si>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</si>
  <si>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</si>
  <si>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</si>
  <si>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</si>
  <si>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</si>
  <si>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</si>
  <si>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</si>
  <si>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</si>
  <si>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</si>
  <si>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</si>
  <si>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</si>
  <si>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</si>
  <si>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</si>
  <si>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</si>
  <si>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</si>
  <si>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</si>
  <si>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</si>
  <si>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</si>
  <si>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</si>
  <si>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</si>
  <si>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</si>
  <si>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</si>
  <si>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</si>
  <si>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</si>
  <si>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</si>
  <si>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</si>
  <si>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</si>
  <si>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</si>
  <si>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</si>
  <si>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</si>
  <si>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</si>
  <si>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</si>
  <si>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</si>
  <si>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</si>
  <si>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</si>
  <si>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</si>
  <si>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</si>
  <si>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</si>
  <si>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</si>
  <si>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</si>
  <si>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</si>
  <si>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</si>
  <si>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</si>
  <si>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</si>
  <si>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</si>
  <si>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</si>
  <si>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</si>
  <si>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</si>
  <si>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</si>
  <si>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</si>
  <si>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</si>
  <si>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</si>
  <si>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</si>
  <si>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</si>
  <si>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</si>
  <si>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</si>
  <si>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</si>
  <si>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</si>
  <si>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</si>
  <si>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</si>
  <si>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</si>
  <si>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</si>
  <si>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</si>
  <si>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</si>
  <si>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</si>
  <si>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</si>
  <si>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</si>
  <si>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</si>
  <si>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</si>
  <si>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</si>
  <si>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</si>
  <si>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</si>
  <si>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</si>
  <si>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</si>
  <si>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</si>
  <si>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</si>
  <si>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</si>
  <si>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</si>
  <si>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</si>
  <si>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</si>
  <si>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</si>
  <si>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</si>
  <si>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</si>
  <si>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</si>
  <si>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</si>
  <si>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</si>
  <si>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</si>
  <si>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</si>
  <si>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</si>
  <si>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</si>
  <si>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</si>
  <si>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</si>
  <si>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</si>
  <si>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</si>
  <si>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</si>
  <si>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</si>
  <si>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</si>
  <si>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</si>
  <si>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</si>
  <si>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</si>
  <si>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</si>
  <si>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</si>
  <si>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</si>
  <si>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</si>
  <si>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</si>
  <si>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</si>
  <si>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</si>
  <si>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</si>
  <si>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</si>
  <si>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</si>
  <si>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</si>
  <si>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</si>
  <si>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</si>
  <si>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</si>
  <si>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</si>
  <si>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</si>
  <si>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</si>
  <si>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</si>
  <si>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</si>
  <si>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</si>
  <si>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</si>
  <si>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</si>
  <si>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</si>
  <si>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</si>
  <si>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</si>
  <si>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</si>
  <si>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</si>
  <si>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</si>
  <si>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</si>
  <si>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</si>
  <si>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</si>
  <si>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</si>
  <si>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</si>
  <si>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</si>
  <si>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</si>
  <si>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</si>
  <si>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</si>
  <si>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</si>
  <si>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</si>
  <si>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</si>
  <si>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</si>
  <si>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</si>
  <si>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</si>
  <si>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</si>
  <si>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</si>
  <si>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</si>
  <si>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</si>
  <si>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</si>
  <si>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</si>
  <si>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</si>
  <si>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</si>
  <si>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</si>
  <si>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</si>
  <si>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</si>
  <si>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</si>
  <si>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</si>
  <si>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</si>
  <si>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</si>
  <si>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</si>
  <si>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</si>
  <si>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</si>
  <si>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</si>
  <si>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</si>
  <si>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</si>
  <si>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</si>
  <si>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</si>
  <si>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</si>
  <si>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</si>
  <si>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</si>
  <si>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</si>
  <si>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</si>
  <si>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</si>
  <si>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</si>
  <si>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</si>
  <si>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</si>
  <si>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</si>
  <si>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</si>
  <si>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</si>
  <si>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</si>
  <si>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</si>
  <si>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</si>
  <si>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</si>
  <si>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</si>
  <si>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</si>
  <si>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</si>
  <si>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</si>
  <si>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</si>
  <si>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</si>
  <si>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</si>
  <si>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</si>
  <si>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</si>
  <si>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</si>
  <si>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</si>
  <si>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</si>
  <si>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</si>
  <si>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</si>
  <si>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</si>
  <si>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</si>
  <si>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</si>
  <si>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</si>
  <si>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</si>
  <si>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</si>
  <si>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</si>
  <si>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</si>
  <si>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</si>
  <si>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</si>
  <si>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</si>
  <si>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</si>
  <si>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</si>
  <si>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</si>
  <si>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</si>
  <si>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</si>
  <si>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</si>
  <si>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</si>
  <si>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</si>
  <si>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</si>
  <si>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</si>
  <si>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</si>
  <si>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</si>
  <si>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</si>
  <si>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</si>
  <si>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</si>
  <si>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</si>
  <si>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</si>
  <si>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</si>
  <si>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</si>
  <si>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</si>
  <si>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</si>
  <si>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</si>
  <si>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</si>
  <si>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</si>
  <si>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</si>
  <si>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</si>
  <si>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</si>
  <si>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</si>
  <si>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</si>
  <si>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</si>
  <si>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</si>
  <si>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</si>
  <si>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</si>
  <si>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</si>
  <si>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</si>
  <si>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</si>
  <si>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</si>
  <si>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</si>
  <si>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</si>
  <si>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</si>
  <si>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</si>
  <si>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</si>
  <si>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</si>
  <si>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</si>
  <si>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</si>
  <si>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</si>
  <si>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</si>
  <si>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</si>
  <si>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</si>
  <si>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</si>
  <si>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</si>
  <si>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</si>
  <si>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</si>
  <si>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</si>
  <si>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</si>
  <si>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</si>
  <si>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</si>
  <si>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</si>
  <si>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</si>
  <si>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</si>
  <si>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</si>
  <si>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</si>
  <si>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</si>
  <si>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</si>
  <si>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</si>
  <si>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</si>
  <si>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</si>
  <si>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</si>
  <si>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</si>
  <si>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</si>
  <si>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</si>
  <si>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</si>
  <si>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</si>
  <si>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</si>
  <si>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</si>
  <si>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</si>
  <si>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</si>
  <si>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</si>
  <si>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</si>
  <si>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</si>
  <si>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</si>
  <si>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</si>
  <si>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</si>
  <si>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</si>
  <si>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</si>
  <si>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</si>
  <si>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</si>
  <si>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</si>
  <si>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</si>
  <si>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</si>
  <si>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</si>
  <si>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</si>
  <si>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</si>
  <si>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</si>
  <si>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</si>
  <si>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</si>
  <si>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</si>
  <si>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</si>
  <si>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</si>
  <si>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</si>
  <si>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</si>
  <si>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</si>
  <si>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</si>
  <si>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</si>
  <si>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</si>
  <si>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</si>
  <si>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</si>
  <si>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</si>
  <si>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</si>
  <si>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</si>
  <si>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</si>
  <si>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</si>
  <si>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</si>
  <si>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</si>
  <si>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</si>
  <si>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</si>
  <si>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</si>
  <si>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</si>
  <si>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</si>
  <si>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</si>
  <si>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</si>
  <si>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</si>
  <si>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</si>
  <si>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</si>
  <si>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</si>
  <si>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</si>
  <si>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</si>
  <si>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</si>
  <si>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</si>
  <si>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</si>
  <si>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</si>
  <si>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</si>
  <si>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</si>
  <si>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</si>
  <si>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</si>
  <si>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</si>
  <si>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</si>
  <si>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</si>
  <si>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</si>
  <si>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</si>
  <si>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</si>
  <si>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</si>
  <si>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</si>
  <si>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</si>
  <si>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</si>
  <si>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</si>
  <si>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</si>
  <si>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</si>
  <si>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</si>
  <si>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</si>
  <si>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</si>
  <si>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</si>
  <si>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</si>
  <si>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</si>
  <si>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</si>
  <si>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</si>
  <si>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</si>
  <si>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</si>
  <si>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</si>
  <si>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</si>
  <si>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</si>
  <si>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</si>
  <si>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</si>
  <si>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</si>
  <si>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</si>
  <si>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</si>
  <si>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</si>
  <si>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</si>
  <si>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</si>
  <si>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</si>
  <si>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</si>
  <si>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</si>
  <si>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</si>
  <si>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</si>
  <si>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</si>
  <si>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</si>
  <si>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</si>
  <si>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</si>
  <si>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</si>
  <si>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</si>
  <si>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</si>
  <si>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</si>
  <si>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</si>
  <si>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</si>
  <si>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</si>
  <si>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</si>
  <si>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</si>
  <si>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</si>
  <si>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</si>
  <si>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</si>
  <si>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</si>
  <si>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</si>
  <si>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</si>
  <si>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</si>
  <si>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</si>
  <si>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</si>
  <si>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</si>
  <si>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</si>
  <si>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</si>
  <si>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</si>
  <si>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</si>
  <si>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</si>
  <si>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</si>
  <si>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</si>
  <si>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</si>
  <si>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</si>
  <si>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</si>
  <si>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</si>
  <si>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</si>
  <si>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</si>
  <si>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</si>
  <si>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</si>
  <si>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</si>
  <si>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</si>
  <si>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</si>
  <si>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</si>
  <si>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</si>
  <si>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</si>
  <si>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</si>
  <si>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</si>
  <si>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</si>
  <si>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</si>
  <si>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</si>
  <si>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</si>
  <si>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</si>
  <si>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</si>
  <si>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</si>
  <si>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</si>
  <si>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</si>
  <si>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</si>
  <si>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</si>
  <si>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</si>
  <si>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</si>
  <si>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</si>
  <si>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</si>
  <si>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</si>
  <si>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</si>
  <si>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</si>
  <si>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</si>
  <si>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</si>
  <si>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</si>
  <si>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</si>
  <si>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</si>
  <si>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</si>
  <si>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</si>
  <si>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</si>
  <si>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</si>
  <si>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</si>
  <si>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</si>
  <si>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</si>
  <si>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</si>
  <si>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</si>
  <si>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</si>
  <si>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</si>
  <si>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</si>
  <si>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</si>
  <si>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</si>
  <si>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</si>
  <si>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</si>
  <si>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</si>
  <si>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</si>
  <si>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</si>
  <si>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</si>
  <si>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</si>
  <si>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</si>
  <si>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</si>
  <si>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</si>
  <si>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</si>
  <si>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</si>
  <si>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</si>
  <si>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</si>
  <si>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</si>
  <si>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</si>
  <si>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</si>
  <si>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</si>
  <si>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</si>
  <si>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</si>
  <si>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</si>
  <si>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</si>
  <si>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</si>
  <si>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</si>
  <si>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</si>
  <si>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</si>
  <si>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</si>
  <si>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</si>
  <si>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</si>
  <si>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</si>
  <si>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</si>
  <si>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</si>
  <si>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</si>
  <si>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</si>
  <si>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</si>
  <si>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</si>
  <si>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</si>
  <si>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</si>
  <si>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</si>
  <si>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</si>
  <si>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</si>
  <si>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</si>
  <si>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</si>
  <si>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</si>
  <si>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</si>
  <si>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</si>
  <si>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</si>
  <si>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</si>
  <si>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</si>
  <si>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</si>
  <si>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</si>
  <si>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</si>
  <si>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</si>
  <si>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</si>
  <si>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</si>
  <si>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</si>
  <si>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</si>
  <si>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</si>
  <si>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</si>
  <si>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</si>
  <si>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</si>
  <si>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</si>
  <si>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</si>
  <si>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</si>
  <si>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</si>
  <si>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</si>
  <si>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</si>
  <si>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</si>
  <si>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</si>
  <si>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</si>
  <si>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</si>
  <si>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</si>
  <si>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</si>
  <si>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</si>
  <si>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</si>
  <si>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</si>
  <si>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</si>
  <si>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</si>
  <si>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</si>
  <si>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</si>
  <si>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</si>
  <si>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</si>
  <si>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</si>
  <si>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</si>
  <si>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</si>
  <si>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</si>
  <si>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</si>
  <si>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</si>
  <si>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</si>
  <si>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</si>
  <si>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</si>
  <si>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</si>
  <si>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</si>
  <si>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</si>
  <si>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</si>
  <si>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</si>
  <si>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</si>
  <si>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</si>
  <si>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</si>
  <si>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</si>
  <si>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</si>
  <si>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</si>
  <si>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</si>
  <si>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</si>
  <si>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</si>
  <si>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</si>
  <si>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</si>
  <si>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</si>
  <si>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</si>
  <si>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</si>
  <si>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</si>
  <si>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</si>
  <si>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</si>
  <si>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</si>
  <si>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</si>
  <si>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</si>
  <si>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</si>
  <si>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</si>
  <si>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</si>
  <si>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</si>
  <si>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</si>
  <si>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</si>
  <si>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</si>
  <si>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</si>
  <si>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</si>
  <si>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</si>
  <si>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</si>
  <si>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</si>
  <si>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</si>
  <si>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</si>
  <si>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</si>
  <si>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</si>
  <si>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</si>
  <si>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</si>
  <si>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</si>
  <si>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</si>
  <si>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</si>
  <si>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</si>
  <si>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</si>
  <si>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</si>
  <si>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</si>
  <si>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</si>
  <si>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</si>
  <si>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</si>
  <si>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</si>
  <si>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</si>
  <si>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</si>
  <si>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</si>
  <si>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</si>
  <si>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</si>
  <si>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</si>
  <si>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</si>
  <si>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</si>
  <si>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</si>
  <si>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</si>
  <si>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</si>
  <si>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</si>
  <si>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</si>
  <si>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</si>
  <si>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</si>
  <si>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</si>
  <si>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</si>
  <si>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</si>
  <si>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</si>
  <si>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</si>
  <si>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</si>
  <si>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</si>
  <si>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</si>
  <si>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</si>
  <si>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</si>
  <si>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</si>
  <si>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</si>
  <si>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</si>
  <si>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</si>
  <si>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</si>
  <si>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</si>
  <si>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</si>
  <si>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</si>
  <si>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</si>
  <si>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</si>
  <si>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</si>
  <si>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</si>
  <si>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</si>
  <si>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</si>
  <si>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</si>
  <si>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</si>
  <si>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</si>
  <si>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</si>
  <si>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</si>
  <si>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</si>
  <si>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</si>
  <si>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</si>
  <si>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</si>
  <si>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</si>
  <si>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</si>
  <si>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</si>
  <si>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</si>
  <si>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</si>
  <si>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</si>
  <si>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</si>
  <si>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</si>
  <si>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</si>
  <si>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</si>
  <si>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</si>
  <si>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</si>
  <si>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</si>
  <si>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</si>
  <si>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</si>
  <si>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</si>
  <si>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</si>
  <si>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</si>
  <si>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</si>
  <si>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</si>
  <si>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</si>
  <si>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</si>
  <si>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</si>
  <si>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</si>
  <si>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</si>
  <si>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</si>
  <si>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</si>
  <si>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</si>
  <si>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</si>
  <si>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</si>
  <si>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</si>
  <si>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</si>
  <si>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</si>
  <si>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</si>
  <si>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</si>
  <si>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</si>
  <si>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</si>
  <si>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</si>
  <si>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</si>
  <si>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</si>
  <si>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</si>
  <si>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</si>
  <si>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</si>
  <si>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</si>
  <si>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</si>
  <si>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</si>
  <si>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</si>
  <si>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</si>
  <si>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</si>
  <si>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</si>
  <si>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</si>
  <si>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</si>
  <si>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</si>
  <si>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</si>
  <si>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</si>
  <si>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</si>
  <si>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</si>
  <si>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</si>
  <si>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</si>
  <si>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</si>
  <si>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</si>
  <si>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</si>
  <si>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</si>
  <si>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</si>
  <si>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</si>
  <si>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</si>
  <si>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</si>
  <si>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</si>
  <si>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</si>
  <si>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</si>
  <si>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</si>
  <si>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</si>
  <si>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</si>
  <si>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</si>
  <si>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</si>
  <si>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</si>
  <si>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</si>
  <si>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</si>
  <si>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</si>
  <si>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</si>
  <si>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</si>
  <si>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</si>
  <si>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</si>
  <si>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</si>
  <si>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</si>
  <si>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</si>
  <si>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</si>
  <si>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</si>
  <si>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</si>
  <si>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</si>
  <si>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</si>
  <si>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</si>
  <si>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</si>
  <si>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</si>
  <si>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</si>
  <si>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</si>
  <si>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</si>
  <si>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</si>
  <si>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</si>
  <si>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</si>
  <si>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</si>
  <si>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</si>
  <si>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</si>
  <si>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</si>
  <si>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</si>
  <si>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</si>
  <si>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</si>
  <si>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</si>
  <si>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</si>
  <si>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</si>
  <si>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</si>
  <si>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</si>
  <si>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</si>
  <si>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</si>
  <si>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</si>
  <si>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</si>
  <si>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</si>
  <si>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</si>
  <si>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</si>
  <si>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</si>
  <si>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</si>
  <si>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</si>
  <si>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</si>
  <si>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</si>
  <si>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</si>
  <si>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</si>
  <si>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</si>
  <si>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</si>
  <si>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</si>
  <si>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</si>
  <si>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</si>
  <si>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</si>
  <si>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</si>
  <si>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</si>
  <si>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</si>
  <si>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</si>
  <si>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</si>
  <si>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</si>
  <si>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</si>
  <si>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</si>
  <si>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</si>
  <si>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</si>
  <si>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</si>
  <si>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</si>
  <si>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</si>
  <si>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</si>
  <si>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</si>
  <si>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</si>
  <si>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</si>
  <si>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</si>
  <si>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</si>
  <si>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</si>
  <si>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</si>
  <si>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</si>
  <si>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</si>
  <si>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</si>
  <si>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</si>
  <si>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</si>
  <si>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</si>
  <si>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</si>
  <si>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</si>
  <si>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</si>
  <si>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</si>
  <si>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</si>
  <si>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</si>
  <si>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</si>
  <si>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</si>
  <si>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</si>
  <si>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</si>
  <si>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</si>
  <si>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</si>
  <si>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</si>
  <si>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</si>
  <si>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</si>
  <si>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</si>
  <si>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</si>
  <si>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</si>
  <si>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</si>
  <si>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</si>
  <si>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</si>
  <si>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</si>
  <si>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</si>
  <si>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</si>
  <si>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</si>
  <si>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</si>
  <si>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</si>
  <si>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</si>
  <si>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</si>
  <si>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</si>
  <si>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</si>
  <si>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</si>
  <si>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</si>
  <si>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</si>
  <si>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</si>
  <si>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</si>
  <si>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</si>
  <si>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</si>
  <si>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</si>
  <si>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</si>
  <si>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</si>
  <si>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</si>
  <si>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</si>
  <si>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</si>
  <si>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</si>
  <si>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</si>
  <si>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</si>
  <si>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</si>
  <si>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</si>
  <si>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</si>
  <si>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</si>
  <si>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</si>
  <si>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</si>
  <si>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</si>
  <si>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</si>
  <si>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</si>
  <si>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</si>
  <si>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</si>
  <si>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</si>
  <si>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</si>
  <si>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</si>
  <si>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</si>
  <si>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</si>
  <si>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</si>
  <si>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</si>
  <si>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</si>
  <si>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</si>
  <si>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</si>
  <si>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</si>
  <si>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</si>
  <si>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</si>
  <si>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</si>
  <si>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</si>
  <si>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</si>
  <si>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</si>
  <si>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</si>
  <si>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</si>
  <si>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</si>
  <si>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</si>
  <si>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</si>
  <si>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</si>
  <si>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</si>
  <si>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</si>
  <si>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</si>
  <si>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</si>
  <si>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</si>
  <si>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</si>
  <si>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</si>
  <si>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</si>
  <si>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</si>
  <si>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</si>
  <si>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</si>
  <si>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</si>
  <si>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</si>
  <si>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</si>
  <si>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</si>
  <si>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</si>
  <si>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</si>
  <si>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</si>
  <si>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</si>
  <si>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</si>
  <si>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</si>
  <si>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</si>
  <si>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</si>
  <si>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</si>
  <si>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</si>
  <si>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</si>
  <si>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</si>
  <si>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</si>
  <si>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</si>
  <si>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</si>
  <si>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</si>
  <si>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</si>
  <si>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</si>
  <si>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</si>
  <si>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</si>
  <si>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</si>
  <si>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</si>
  <si>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</si>
  <si>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</si>
  <si>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</si>
  <si>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</si>
  <si>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</si>
  <si>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</si>
  <si>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</si>
  <si>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</si>
  <si>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</si>
  <si>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</si>
  <si>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</si>
  <si>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</si>
  <si>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</si>
  <si>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</si>
  <si>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</si>
  <si>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</si>
  <si>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</si>
  <si>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</si>
  <si>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</si>
  <si>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</si>
  <si>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</si>
  <si>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</si>
  <si>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</si>
  <si>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</si>
  <si>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</si>
  <si>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</si>
  <si>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</si>
  <si>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</si>
  <si>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</si>
  <si>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</si>
  <si>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</si>
  <si>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</si>
  <si>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</si>
  <si>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</si>
  <si>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</si>
  <si>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</si>
  <si>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</si>
  <si>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</si>
  <si>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</si>
  <si>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</si>
  <si>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</si>
  <si>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</si>
  <si>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</si>
  <si>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</si>
  <si>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</si>
  <si>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</si>
  <si>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</si>
  <si>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</si>
  <si>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</si>
  <si>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</si>
  <si>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</si>
  <si>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</si>
  <si>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</si>
  <si>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</si>
  <si>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</si>
  <si>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</si>
  <si>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</si>
  <si>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</si>
  <si>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</si>
  <si>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</si>
  <si>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</si>
  <si>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</si>
  <si>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</si>
  <si>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</si>
  <si>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</si>
  <si>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</si>
  <si>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</si>
  <si>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</si>
  <si>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</si>
  <si>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</si>
  <si>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</si>
  <si>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</si>
  <si>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</si>
  <si>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</si>
  <si>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</si>
  <si>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</si>
  <si>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</si>
  <si>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</si>
  <si>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</si>
  <si>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</si>
  <si>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</si>
  <si>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</si>
  <si>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</si>
  <si>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</si>
  <si>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</si>
  <si>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</si>
  <si>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</si>
  <si>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</si>
  <si>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</si>
  <si>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</si>
  <si>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</si>
  <si>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</si>
  <si>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</si>
  <si>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</si>
  <si>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</si>
  <si>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</si>
  <si>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</si>
  <si>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</si>
  <si>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</si>
  <si>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</si>
  <si>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</si>
  <si>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</si>
  <si>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</si>
  <si>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</si>
  <si>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</si>
  <si>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</si>
  <si>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</si>
  <si>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</si>
  <si>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</si>
  <si>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</si>
  <si>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</si>
  <si>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</si>
  <si>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</si>
  <si>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</si>
  <si>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</si>
  <si>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</si>
  <si>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</si>
  <si>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</si>
  <si>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</si>
  <si>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</si>
  <si>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</si>
  <si>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</si>
  <si>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</si>
  <si>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</si>
  <si>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</si>
  <si>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</si>
  <si>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</si>
  <si>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</si>
  <si>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</si>
  <si>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</si>
  <si>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</si>
  <si>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</si>
  <si>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</si>
  <si>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</si>
  <si>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</si>
  <si>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</si>
  <si>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</si>
  <si>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</si>
  <si>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</si>
  <si>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</si>
  <si>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</si>
  <si>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</si>
  <si>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</si>
  <si>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</si>
  <si>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</si>
  <si>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</si>
  <si>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</si>
  <si>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</si>
  <si>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</si>
  <si>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</si>
  <si>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</si>
  <si>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</si>
  <si>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</si>
  <si>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</si>
  <si>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</si>
  <si>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</si>
  <si>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</si>
  <si>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</si>
  <si>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</si>
  <si>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</si>
  <si>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</si>
  <si>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</si>
  <si>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</si>
  <si>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</si>
  <si>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</si>
  <si>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</si>
  <si>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</si>
  <si>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</si>
  <si>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</si>
  <si>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</si>
  <si>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</si>
  <si>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</si>
  <si>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</si>
  <si>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</si>
  <si>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</si>
  <si>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</si>
  <si>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</si>
  <si>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</si>
  <si>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</si>
  <si>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</si>
  <si>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</si>
  <si>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</si>
  <si>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</si>
  <si>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</si>
  <si>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</si>
  <si>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</si>
  <si>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</si>
  <si>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</si>
  <si>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</si>
  <si>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</si>
  <si>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</si>
  <si>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</si>
  <si>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</si>
  <si>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</si>
  <si>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</si>
  <si>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</si>
  <si>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</si>
  <si>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</si>
  <si>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</si>
  <si>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</si>
  <si>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</si>
  <si>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</si>
  <si>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</si>
  <si>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</si>
  <si>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</si>
  <si>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</si>
  <si>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</si>
  <si>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</si>
  <si>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</si>
  <si>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</si>
  <si>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</si>
  <si>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</si>
  <si>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</si>
  <si>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</si>
  <si>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</si>
  <si>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</si>
  <si>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</si>
  <si>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</si>
  <si>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</si>
  <si>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</si>
  <si>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</si>
  <si>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</si>
  <si>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</si>
  <si>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</si>
  <si>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</si>
  <si>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</si>
  <si>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</si>
  <si>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</si>
  <si>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</si>
  <si>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</si>
  <si>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</si>
  <si>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</si>
  <si>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</si>
  <si>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</si>
  <si>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</si>
  <si>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</si>
  <si>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</si>
  <si>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</si>
  <si>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</si>
  <si>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</si>
  <si>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</si>
  <si>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</si>
  <si>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</si>
  <si>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</si>
  <si>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</si>
  <si>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</si>
  <si>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</si>
  <si>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</si>
  <si>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</si>
  <si>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</si>
  <si>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</si>
  <si>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</si>
  <si>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</si>
  <si>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</si>
  <si>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</si>
  <si>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</si>
  <si>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</si>
  <si>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</si>
  <si>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</si>
  <si>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</si>
  <si>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</si>
  <si>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</si>
  <si>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</si>
  <si>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</si>
  <si>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</si>
  <si>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</si>
  <si>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</si>
  <si>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</si>
  <si>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</si>
  <si>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</si>
  <si>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</si>
  <si>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</si>
  <si>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</si>
  <si>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</si>
  <si>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</si>
  <si>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</si>
  <si>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</si>
  <si>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</si>
  <si>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</si>
  <si>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</si>
  <si>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</si>
  <si>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</si>
  <si>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</si>
  <si>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</si>
  <si>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</si>
  <si>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</si>
  <si>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</si>
  <si>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</si>
  <si>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</si>
  <si>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</si>
  <si>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</si>
  <si>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</si>
  <si>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</si>
  <si>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</si>
  <si>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</si>
  <si>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</si>
  <si>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</si>
  <si>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</si>
  <si>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</si>
  <si>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</si>
  <si>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</si>
  <si>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</si>
  <si>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</si>
  <si>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</si>
  <si>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</si>
  <si>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</si>
  <si>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</si>
  <si>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</si>
  <si>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</si>
  <si>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</si>
  <si>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</si>
  <si>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</si>
  <si>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</si>
  <si>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</si>
  <si>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</si>
  <si>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</si>
  <si>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</si>
  <si>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</si>
  <si>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</si>
  <si>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</si>
  <si>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</si>
  <si>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</si>
  <si>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</si>
  <si>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</si>
  <si>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</si>
  <si>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</si>
  <si>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</si>
  <si>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</si>
  <si>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</si>
  <si>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</si>
  <si>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</si>
  <si>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</si>
  <si>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</si>
  <si>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</si>
  <si>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</si>
  <si>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</si>
  <si>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</si>
  <si>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</si>
  <si>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</si>
  <si>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</si>
  <si>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</si>
  <si>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</si>
  <si>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</si>
  <si>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</si>
  <si>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</si>
  <si>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</si>
  <si>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</si>
  <si>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</si>
  <si>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</si>
  <si>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</si>
  <si>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</si>
  <si>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</si>
  <si>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</si>
  <si>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</si>
  <si>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</si>
  <si>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</si>
  <si>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</si>
  <si>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</si>
  <si>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</si>
  <si>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</si>
  <si>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</si>
  <si>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</si>
  <si>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</si>
  <si>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</si>
  <si>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</si>
  <si>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</si>
  <si>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</si>
  <si>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</si>
  <si>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</si>
  <si>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</si>
  <si>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</si>
  <si>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</si>
  <si>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</si>
  <si>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</si>
  <si>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</si>
  <si>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</si>
  <si>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</si>
  <si>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</si>
  <si>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</si>
  <si>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</si>
  <si>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</si>
  <si>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</si>
  <si>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</si>
  <si>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</si>
  <si>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</si>
  <si>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</si>
  <si>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</si>
  <si>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</si>
  <si>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</si>
  <si>
    <t>https://en.wikipedia.org/wiki/Fairfield_Township,_Cumberland_County,_New_Jersey</t>
  </si>
  <si>
    <t>https://en.wikipedia.org/wiki/Fairfield_Township,_Essex_County,_New_Jersey</t>
  </si>
  <si>
    <t>https://en.wikipedia.org/wiki/Franklin_Township,_Gloucester_County,_New_Jersey</t>
  </si>
  <si>
    <t>https://en.wikipedia.org/wiki/Franklin_Township,_Hunterdon_County,_New_Jersey</t>
  </si>
  <si>
    <t>https://en.wikipedia.org/wiki/Franklin_Township,_Somerset_County,_New_Jersey</t>
  </si>
  <si>
    <t>https://en.wikipedia.org/wiki/Franklin,_Sussex_County,_New_Jersey</t>
  </si>
  <si>
    <t>https://en.wikipedia.org/wiki/Franklin_Township,_Warren_County,_New_Jersey</t>
  </si>
  <si>
    <t>https://en.wikipedia.org/wiki/Greenwich_Township,_Cumberland_County,_New_Jersey</t>
  </si>
  <si>
    <t>https://en.wikipedia.org/wiki/Greenwich_Township,_Gloucester_County,_New_Jersey</t>
  </si>
  <si>
    <t>https://en.wikipedia.org/wiki/Greenwich_Township,_Warren_County,_New_Jersey</t>
  </si>
  <si>
    <t>https://en.wikipedia.org/wiki/Hamilton_Township,_Atlantic_County,_New_Jersey</t>
  </si>
  <si>
    <t>https://en.wikipedia.org/wiki/Hamilton_Township,_Mercer_County,_New_Jersey</t>
  </si>
  <si>
    <t>https://en.wikipedia.org/wiki/Hampton,_Hunterdon_County,_New_Jersey</t>
  </si>
  <si>
    <t>https://en.wikipedia.org/wiki/Hampton_Township,_Sussex_County,_New_Jersey</t>
  </si>
  <si>
    <t>https://en.wikipedia.org/wiki/Harrison_Township,_Gloucester_County,_New_Jersey</t>
  </si>
  <si>
    <t>https://en.wikipedia.org/wiki/Harrison,_Hudson_County,_New_Jersey</t>
  </si>
  <si>
    <t>https://en.wikipedia.org/wiki/Hopewell_Township,_Cumberland_County,_New_Jersey</t>
  </si>
  <si>
    <t>https://en.wikipedia.org/wiki/Hopewell,_Mercer_County,_New_Jersey</t>
  </si>
  <si>
    <t>https://en.wikipedia.org/wiki/Hopewell_Township,_Mercer_County,_New_Jersey</t>
  </si>
  <si>
    <t>https://en.wikipedia.org/wiki/Lawrence_Township,_Cumberland_County,_New_Jersey</t>
  </si>
  <si>
    <t>https://en.wikipedia.org/wiki/Lawrence_Township,_Mercer_County,_New_Jersey</t>
  </si>
  <si>
    <t>https://en.wikipedia.org/wiki/Mansfield_Township,_Burlington_County,_New_Jersey</t>
  </si>
  <si>
    <t>https://en.wikipedia.org/wiki/Mansfield_Township,_Warren_County,_New_Jersey</t>
  </si>
  <si>
    <t>https://en.wikipedia.org/wiki/Millstone_Township,_Monmouth_County,_New_Jersey</t>
  </si>
  <si>
    <t>https://en.wikipedia.org/wiki/Millstone,_Somerset_County,_New_Jersey</t>
  </si>
  <si>
    <t>https://en.wikipedia.org/wiki/Monroe_Township,_Gloucester_County,_New_Jersey</t>
  </si>
  <si>
    <t>https://en.wikipedia.org/wiki/Monroe_Township,_Middlesex_County,_New_Jersey</t>
  </si>
  <si>
    <t>https://en.wikipedia.org/wiki/Ocean_Township,_Monmouth_County,_New_Jersey</t>
  </si>
  <si>
    <t>https://en.wikipedia.org/wiki/Ocean_Township,_Ocean_County,_New_Jersey</t>
  </si>
  <si>
    <t>https://en.wikipedia.org/wiki/Raritan_Township,_Hunterdon_County,_New_Jersey</t>
  </si>
  <si>
    <t>https://en.wikipedia.org/wiki/Raritan,_Somerset_County,_New_Jersey</t>
  </si>
  <si>
    <t>https://en.wikipedia.org/wiki/Springfield_Township,_Burlington_County,_New_Jersey</t>
  </si>
  <si>
    <t>https://en.wikipedia.org/wiki/Springfield_Township,_Union_County,_New_Jersey</t>
  </si>
  <si>
    <t>https://en.wikipedia.org/wiki/Union_Township,_Hunterdon_County,_New_Jersey</t>
  </si>
  <si>
    <t>https://en.wikipedia.org/wiki/Union_Township,_Union_County,_New_Jersey</t>
  </si>
  <si>
    <t>https://en.wikipedia.org/wiki/Washington_Township,_Bergen_County,_New_Jersey</t>
  </si>
  <si>
    <t>https://en.wikipedia.org/wiki/Washington_Township,_Burlington_County,_New_Jersey</t>
  </si>
  <si>
    <t>https://en.wikipedia.org/wiki/Washington_Township,_Gloucester_County,_New_Jersey</t>
  </si>
  <si>
    <t>https://en.wikipedia.org/wiki/Washington_Township,_Morris_County,_New_Jersey</t>
  </si>
  <si>
    <t>https://en.wikipedia.org/wiki/Washington,_Warren_County,_New_Jersey</t>
  </si>
  <si>
    <t>https://en.wikipedia.org/wiki/Washington_Township,_Warren_County,_New_Jersey</t>
  </si>
  <si>
    <t>Bridgeton Family Diner &amp; Restaurant</t>
  </si>
  <si>
    <t>Dino's Pizzaria</t>
  </si>
  <si>
    <t>Cedar Rose Vineyards</t>
  </si>
  <si>
    <t>The Charlesworth Restaurant</t>
  </si>
  <si>
    <t>Antojitos Guerrero Mx</t>
  </si>
  <si>
    <t>The Bait Box</t>
  </si>
  <si>
    <t>The Greater Bridgeton Amish Market</t>
  </si>
  <si>
    <t>Bull on the Barn Bayshore Crab House</t>
  </si>
  <si>
    <t>Maurice River Diner</t>
  </si>
  <si>
    <t>Old Oar House Irish Pub</t>
  </si>
  <si>
    <t>Shiloh Market</t>
  </si>
  <si>
    <t>Stow Creek Landing (Picnic)</t>
  </si>
  <si>
    <t>Golden Pigeon Diner</t>
  </si>
  <si>
    <t>El Cilantro Mexican Restaurant</t>
  </si>
  <si>
    <t>https://maps.app.goo.gl/YKSxWGRvsQLd4Mi67</t>
  </si>
  <si>
    <t>Google Maps</t>
  </si>
  <si>
    <t>Umi Hotpot Sushi &amp; Seafood Buffet</t>
  </si>
  <si>
    <t>blueplate</t>
  </si>
  <si>
    <t>BBQ Clubhouse @ Dalton Farms</t>
  </si>
  <si>
    <t>Coconut Grove Dockside Bar</t>
  </si>
  <si>
    <t>Osteria 545</t>
  </si>
  <si>
    <t>Hens &amp; Honey</t>
  </si>
  <si>
    <t>First Watch</t>
  </si>
  <si>
    <t>The Colonial Diner</t>
  </si>
  <si>
    <t>The Hollywood Diner and Bar</t>
  </si>
  <si>
    <t>Dunkin' Donuts</t>
  </si>
  <si>
    <t>Talk of the Towne</t>
  </si>
  <si>
    <t>Seagraves Subs</t>
  </si>
  <si>
    <t>Cedar Creek Pizza &amp; Grill</t>
  </si>
  <si>
    <t>Java Dog Coffee &amp; Tea</t>
  </si>
  <si>
    <t>Taqueria Atexquita</t>
  </si>
  <si>
    <t>The Shipyard</t>
  </si>
  <si>
    <t>Cowtown Rodeo</t>
  </si>
  <si>
    <t>Comfort Cafe &amp; Bistro</t>
  </si>
  <si>
    <t>Salem Oak Diner</t>
  </si>
  <si>
    <t>Woodstown Diner</t>
  </si>
  <si>
    <t>Sad Boyz</t>
  </si>
  <si>
    <t>Taco Birria</t>
  </si>
  <si>
    <t>Marcello's</t>
  </si>
  <si>
    <t>The Union House</t>
  </si>
  <si>
    <t>Hibachi Grill &amp; Supreme Buffet</t>
  </si>
  <si>
    <t>Mario &amp; Franks II</t>
  </si>
  <si>
    <t>Lillo's Tomato Pies</t>
  </si>
  <si>
    <t>Friends' House - Birthday Party</t>
  </si>
  <si>
    <t>Yard House</t>
  </si>
  <si>
    <t>B-Unos</t>
  </si>
  <si>
    <t>Manila Cafe &amp; Asian Mart</t>
  </si>
  <si>
    <t>Burger King</t>
  </si>
  <si>
    <t>Vincetown Diner</t>
  </si>
  <si>
    <t>Pandora Diner</t>
  </si>
  <si>
    <t>The Village Pub &amp; Package Goods</t>
  </si>
  <si>
    <t>JB's Lunch Box</t>
  </si>
  <si>
    <t>The Q Spot</t>
  </si>
  <si>
    <t>EFENDY Turkish Restaurant</t>
  </si>
  <si>
    <t>Buzby's Eatery &amp; General Store</t>
  </si>
  <si>
    <t>https://www.facebook.com/reel/3551711418468987</t>
  </si>
  <si>
    <t>NJ Town #115: Hainesport</t>
  </si>
  <si>
    <t>NJ Town #114: Mount Holly</t>
  </si>
  <si>
    <t>https://www.facebook.com/reel/1132004315359798</t>
  </si>
  <si>
    <t>NJ Town #116: Mount Laurel</t>
  </si>
  <si>
    <t>https://www.facebook.com/reel/2980026428868561</t>
  </si>
  <si>
    <t>NJ Town #88: Willingboro</t>
  </si>
  <si>
    <t>https://www.facebook.com/permalink.php?story_fbid=pfbid0342NUrbgWYHmCaFQdN33ETkFzJ84LczVowMjBpdLKR24gFAx5FrcqmS9ftuHZrPTAl&amp;id=61569640546791</t>
  </si>
  <si>
    <t>Sun Harbor Seafood &amp; Grill</t>
  </si>
  <si>
    <t>Mustache Bill's Diner</t>
  </si>
  <si>
    <t>The Grenville Restaurant &amp; Hotel</t>
  </si>
  <si>
    <t>Black Whale Bar &amp; Fish House</t>
  </si>
  <si>
    <t>Sand Castle Diner</t>
  </si>
  <si>
    <t>B2Bistro Waters Edge</t>
  </si>
  <si>
    <t>Chuck &amp; Maureen's Pig Roast</t>
  </si>
  <si>
    <t>Calloway's Restaurant &amp; Bar</t>
  </si>
  <si>
    <t>Black Eyed Susan's Restaurant &amp; Tavern</t>
  </si>
  <si>
    <t>Great Adventure</t>
  </si>
  <si>
    <t>The Waterfront</t>
  </si>
  <si>
    <t>Lakehurst Diner</t>
  </si>
  <si>
    <t>Route 70 Diner</t>
  </si>
  <si>
    <t>Rosie's</t>
  </si>
  <si>
    <t>Clemmy's</t>
  </si>
  <si>
    <t>Roy Rogers</t>
  </si>
  <si>
    <t>Laurita Winery</t>
  </si>
  <si>
    <t>Tacoholics</t>
  </si>
  <si>
    <t>The Shrimp Box</t>
  </si>
  <si>
    <t>The Sawmill</t>
  </si>
  <si>
    <t>LBI Table</t>
  </si>
  <si>
    <t>And It's Good Stuff</t>
  </si>
  <si>
    <t>Dockside Cafe</t>
  </si>
  <si>
    <t>Villa Amalfi</t>
  </si>
  <si>
    <t>NJ Town #124: Beachwood</t>
  </si>
  <si>
    <t>https://www.facebook.com/reel/1543556009974817</t>
  </si>
  <si>
    <t>NJ Town #124: Bonus Town Trivia</t>
  </si>
  <si>
    <t>https://www.facebook.com/permalink.php?story_fbid=pfbid04dYD4JWGLk55bhtpT3ZBfwCubZPaQ6vyAMKrpzzZ6tjHvnetXEDh4RXSxpeLbb1bl&amp;id=61569640546791</t>
  </si>
  <si>
    <t>NJ Town #100: Brick</t>
  </si>
  <si>
    <t>NJ Town #125: Pine Beach</t>
  </si>
  <si>
    <t>https://www.facebook.com/reel/715304104525377</t>
  </si>
  <si>
    <t>NJ Town #125: Bonus Town Trivia</t>
  </si>
  <si>
    <t>https://www.facebook.com/permalink.php?story_fbid=pfbid02dSy8sDqV3KRKrcmMfT7s4QQSUhCRnP12C83dMQzEwsjnDrC7SD24WJSTw49wZ1Vl&amp;id=61569640546791</t>
  </si>
  <si>
    <t>https://www.facebook.com/permalink.php?story_fbid=pfbid02w9s314etvQoYKDPekMmXYEFFUUNFUEB9HK2EudLNyNEJeJiHSBwgioLuX7tb5u9Bl&amp;id=61569640546791</t>
  </si>
  <si>
    <t>NJ Town #107: Lacey</t>
  </si>
  <si>
    <t>https://www.facebook.com/reel/1534430474612131</t>
  </si>
  <si>
    <t>NJ Town #112: Lakehurst</t>
  </si>
  <si>
    <t>https://fb.watch/Gj-LKnNvvM/</t>
  </si>
  <si>
    <t>NJ Town #101: Point Pleasant Boro</t>
  </si>
  <si>
    <t>https://www.facebook.com/reel/1120284442713116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</si>
</sst>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L22" activePane="bottomRight" state="frozen"/>
      <selection pane="topRight"/>
      <selection pane="bottomLeft"/>
      <selection pane="bottomRight" activeCell="M405" sqref="M405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9" t="s">
        <v>0</v>
      </c>
      <c r="B1" s="70"/>
      <c r="C1" s="70"/>
      <c r="D1" s="68"/>
      <c r="E1" s="73" t="s">
        <v>1</v>
      </c>
      <c r="F1" s="70"/>
      <c r="G1" s="70"/>
      <c r="H1" s="68"/>
      <c r="I1" s="67" t="s">
        <v>2</v>
      </c>
      <c r="J1" s="68"/>
      <c r="K1" s="1" t="s">
        <v>3</v>
      </c>
      <c r="L1" s="76" t="s">
        <v>4</v>
      </c>
      <c r="M1" s="70"/>
      <c r="N1" s="70"/>
      <c r="O1" s="68"/>
      <c r="P1" s="77" t="s">
        <v>5</v>
      </c>
      <c r="Q1" s="70"/>
      <c r="R1" s="70"/>
      <c r="S1" s="68"/>
      <c r="T1" s="78" t="s">
        <v>6</v>
      </c>
      <c r="U1" s="70"/>
      <c r="V1" s="70"/>
      <c r="W1" s="68"/>
      <c r="X1" s="72" t="s">
        <v>7</v>
      </c>
      <c r="Y1" s="70"/>
      <c r="Z1" s="70"/>
      <c r="AA1" s="68"/>
      <c r="AB1" s="74" t="s">
        <v>8</v>
      </c>
      <c r="AC1" s="70"/>
      <c r="AD1" s="70"/>
      <c r="AE1" s="68"/>
      <c r="AF1" s="75" t="s">
        <v>9</v>
      </c>
      <c r="AG1" s="70"/>
      <c r="AH1" s="70"/>
      <c r="AI1" s="68"/>
      <c r="AJ1" s="71" t="s">
        <v>10</v>
      </c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68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 t="str">
        <f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3" t="str">
        <f t="shared" ref="K4:K67" si="0">IF(A4="","","https://en.wikipedia.org/wiki/"&amp;SUBSTITUTE(A4," ","_")&amp;IF(D4="township","_Township","")&amp;",_New_Jersey")</f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3" t="str">
        <f t="shared" si="0"/>
        <v>https://en.wikipedia.org/wiki/Allenhurst,_New_Jersey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 t="str">
        <f t="shared" si="0"/>
        <v>https://en.wikipedia.org/wiki/Allentown,_New_Jersey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104</v>
      </c>
      <c r="B17" s="13" t="s">
        <v>59</v>
      </c>
      <c r="C17" s="13" t="s">
        <v>105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 t="str">
        <f t="shared" si="0"/>
        <v>https://en.wikipedia.org/wiki/Atlantic_Highlands,_New_Jersey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106</v>
      </c>
      <c r="AM17" s="13" t="s">
        <v>107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108</v>
      </c>
      <c r="B18" s="15" t="s">
        <v>109</v>
      </c>
      <c r="C18" s="15" t="s">
        <v>110</v>
      </c>
      <c r="D18" s="15" t="s">
        <v>76</v>
      </c>
      <c r="E18" s="15" t="s">
        <v>156</v>
      </c>
      <c r="F18" s="15">
        <v>283</v>
      </c>
      <c r="G18" s="15"/>
      <c r="H18" s="16">
        <v>46022</v>
      </c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111</v>
      </c>
      <c r="B19" s="13" t="s">
        <v>109</v>
      </c>
      <c r="C19" s="13" t="s">
        <v>112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113</v>
      </c>
      <c r="B20" s="15" t="s">
        <v>114</v>
      </c>
      <c r="C20" s="15" t="s">
        <v>115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116</v>
      </c>
      <c r="B21" s="13" t="s">
        <v>59</v>
      </c>
      <c r="C21" s="13" t="s">
        <v>117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 t="str">
        <f t="shared" si="0"/>
        <v>https://en.wikipedia.org/wiki/Avon-by-the-Sea,_New_Jersey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118</v>
      </c>
      <c r="AM21" s="13" t="s">
        <v>119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120</v>
      </c>
      <c r="B22" s="15" t="s">
        <v>121</v>
      </c>
      <c r="C22" s="15" t="s">
        <v>122</v>
      </c>
      <c r="D22" s="15" t="s">
        <v>61</v>
      </c>
      <c r="E22" s="15" t="s">
        <v>156</v>
      </c>
      <c r="F22" s="15">
        <v>227</v>
      </c>
      <c r="G22" t="s">
        <v>1521</v>
      </c>
      <c r="H22" s="16">
        <v>45535</v>
      </c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123</v>
      </c>
      <c r="B23" s="13" t="s">
        <v>121</v>
      </c>
      <c r="C23" s="13" t="s">
        <v>124</v>
      </c>
      <c r="D23" s="13" t="s">
        <v>76</v>
      </c>
      <c r="E23" s="13" t="s">
        <v>156</v>
      </c>
      <c r="F23" s="13">
        <v>218</v>
      </c>
      <c r="G23" t="s">
        <v>1522</v>
      </c>
      <c r="H23" s="14">
        <v>45515</v>
      </c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125</v>
      </c>
      <c r="B24" s="15" t="s">
        <v>109</v>
      </c>
      <c r="C24" s="15" t="s">
        <v>126</v>
      </c>
      <c r="D24" s="15" t="s">
        <v>76</v>
      </c>
      <c r="E24" s="15" t="s">
        <v>156</v>
      </c>
      <c r="F24" s="15">
        <v>275</v>
      </c>
      <c r="G24" s="15"/>
      <c r="H24" s="16">
        <v>45824</v>
      </c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127</v>
      </c>
      <c r="B25" s="13" t="s">
        <v>128</v>
      </c>
      <c r="C25" s="13" t="s">
        <v>129</v>
      </c>
      <c r="D25" s="13" t="s">
        <v>61</v>
      </c>
      <c r="E25" s="13" t="s">
        <v>156</v>
      </c>
      <c r="F25" s="13">
        <v>224</v>
      </c>
      <c r="G25" t="s">
        <v>1494</v>
      </c>
      <c r="H25" s="14">
        <v>45529</v>
      </c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130</v>
      </c>
      <c r="B26" s="15" t="s">
        <v>121</v>
      </c>
      <c r="C26" s="15" t="s">
        <v>131</v>
      </c>
      <c r="D26" s="15" t="s">
        <v>76</v>
      </c>
      <c r="E26" s="15" t="s">
        <v>156</v>
      </c>
      <c r="F26" s="15">
        <v>232</v>
      </c>
      <c r="G26" t="s">
        <v>1523</v>
      </c>
      <c r="H26" s="16">
        <v>45554</v>
      </c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132</v>
      </c>
      <c r="B27" s="13" t="s">
        <v>133</v>
      </c>
      <c r="C27" s="13" t="s">
        <v>134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135</v>
      </c>
      <c r="B28" s="15" t="s">
        <v>121</v>
      </c>
      <c r="C28" s="15" t="s">
        <v>136</v>
      </c>
      <c r="D28" s="15" t="s">
        <v>76</v>
      </c>
      <c r="E28" s="15" t="s">
        <v>156</v>
      </c>
      <c r="F28" s="15">
        <v>193</v>
      </c>
      <c r="G28" t="s">
        <v>1524</v>
      </c>
      <c r="H28" s="16">
        <v>45416</v>
      </c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137</v>
      </c>
      <c r="B29" s="13" t="s">
        <v>121</v>
      </c>
      <c r="C29" s="13" t="s">
        <v>138</v>
      </c>
      <c r="D29" s="13" t="s">
        <v>76</v>
      </c>
      <c r="E29" s="13" t="s">
        <v>79</v>
      </c>
      <c r="F29" s="13">
        <v>124</v>
      </c>
      <c r="G29" t="s">
        <v>1525</v>
      </c>
      <c r="H29" s="14">
        <v>45214</v>
      </c>
      <c r="I29" s="13"/>
      <c r="J29" s="13"/>
      <c r="K29" s="13" t="str">
        <f t="shared" si="0"/>
        <v>https://en.wikipedia.org/wiki/Beachwood,_New_Jersey</v>
      </c>
      <c r="L29" s="13" t="s">
        <v>1545</v>
      </c>
      <c r="M29" s="13" t="s">
        <v>140</v>
      </c>
      <c r="N29" s="13" t="s">
        <v>1547</v>
      </c>
      <c r="O29" s="13" t="s">
        <v>142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1545</v>
      </c>
      <c r="AG29" s="13" t="s">
        <v>1546</v>
      </c>
      <c r="AH29" s="13" t="s">
        <v>1547</v>
      </c>
      <c r="AI29" s="13" t="s">
        <v>1548</v>
      </c>
      <c r="AJ29" s="13"/>
      <c r="AK29" s="13"/>
      <c r="AL29" s="13" t="s">
        <v>139</v>
      </c>
      <c r="AM29" s="13" t="s">
        <v>140</v>
      </c>
      <c r="AN29" s="13"/>
      <c r="AO29" s="13"/>
      <c r="AP29" s="13" t="s">
        <v>141</v>
      </c>
      <c r="AQ29" s="13" t="s">
        <v>142</v>
      </c>
      <c r="AR29" s="13"/>
      <c r="AS29" s="13"/>
      <c r="AT29" s="13"/>
      <c r="AU29" s="13"/>
    </row>
    <row r="30" spans="1:47" ht="16" customHeight="1" x14ac:dyDescent="0.2">
      <c r="A30" s="15" t="s">
        <v>143</v>
      </c>
      <c r="B30" s="15" t="s">
        <v>144</v>
      </c>
      <c r="C30" s="15" t="s">
        <v>145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146</v>
      </c>
      <c r="B31" s="13" t="s">
        <v>147</v>
      </c>
      <c r="C31" s="13" t="s">
        <v>148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149</v>
      </c>
      <c r="B32" s="15" t="s">
        <v>109</v>
      </c>
      <c r="C32" s="15" t="s">
        <v>150</v>
      </c>
      <c r="D32" s="15" t="s">
        <v>76</v>
      </c>
      <c r="E32" s="15" t="s">
        <v>156</v>
      </c>
      <c r="F32" s="15">
        <v>137</v>
      </c>
      <c r="G32" s="15"/>
      <c r="H32" s="16">
        <v>45235</v>
      </c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151</v>
      </c>
      <c r="B33" s="13" t="s">
        <v>59</v>
      </c>
      <c r="C33" s="13" t="s">
        <v>152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153</v>
      </c>
      <c r="B34" s="15" t="s">
        <v>71</v>
      </c>
      <c r="C34" s="15" t="s">
        <v>154</v>
      </c>
      <c r="D34" s="15" t="s">
        <v>155</v>
      </c>
      <c r="E34" s="15" t="s">
        <v>156</v>
      </c>
      <c r="F34" s="15">
        <v>236</v>
      </c>
      <c r="G34" s="15" t="s">
        <v>157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158</v>
      </c>
      <c r="B35" s="13" t="s">
        <v>74</v>
      </c>
      <c r="C35" s="13" t="s">
        <v>159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 t="str">
        <f t="shared" si="0"/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160</v>
      </c>
      <c r="B36" s="15" t="s">
        <v>121</v>
      </c>
      <c r="C36" s="15" t="s">
        <v>161</v>
      </c>
      <c r="D36" s="15" t="s">
        <v>61</v>
      </c>
      <c r="E36" s="15" t="s">
        <v>156</v>
      </c>
      <c r="F36" s="15">
        <v>219</v>
      </c>
      <c r="G36" t="s">
        <v>1526</v>
      </c>
      <c r="H36" s="16">
        <v>45520</v>
      </c>
      <c r="I36" s="15"/>
      <c r="J36" s="15"/>
      <c r="K36" s="13" t="str">
        <f t="shared" si="0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162</v>
      </c>
      <c r="B37" s="13" t="s">
        <v>163</v>
      </c>
      <c r="C37" s="13" t="s">
        <v>164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 t="str">
        <f t="shared" si="0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165</v>
      </c>
      <c r="B38" s="15" t="s">
        <v>109</v>
      </c>
      <c r="C38" s="15" t="s">
        <v>166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3" t="str">
        <f t="shared" si="0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165</v>
      </c>
      <c r="B39" s="13" t="s">
        <v>109</v>
      </c>
      <c r="C39" s="13" t="s">
        <v>167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 t="str">
        <f t="shared" si="0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168</v>
      </c>
      <c r="B40" s="15" t="s">
        <v>144</v>
      </c>
      <c r="C40" s="15" t="s">
        <v>169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3" t="str">
        <f t="shared" si="0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170</v>
      </c>
      <c r="B41" s="13" t="s">
        <v>144</v>
      </c>
      <c r="C41" s="13" t="s">
        <v>171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 t="str">
        <f t="shared" si="0"/>
        <v>https://en.wikipedia.org/wiki/Bernardsville,_New_Jersey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172</v>
      </c>
      <c r="AM41" s="13" t="s">
        <v>173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174</v>
      </c>
      <c r="B42" s="15" t="s">
        <v>68</v>
      </c>
      <c r="C42" s="15" t="s">
        <v>175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3" t="str">
        <f t="shared" si="0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176</v>
      </c>
      <c r="B43" s="13" t="s">
        <v>128</v>
      </c>
      <c r="C43" s="13" t="s">
        <v>177</v>
      </c>
      <c r="D43" s="13" t="s">
        <v>66</v>
      </c>
      <c r="E43" s="13" t="s">
        <v>156</v>
      </c>
      <c r="F43" s="13">
        <v>248</v>
      </c>
      <c r="G43" t="s">
        <v>1495</v>
      </c>
      <c r="H43" s="14">
        <v>45613</v>
      </c>
      <c r="I43" s="13"/>
      <c r="J43" s="13"/>
      <c r="K43" s="13" t="str">
        <f t="shared" si="0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178</v>
      </c>
      <c r="B44" s="15" t="s">
        <v>71</v>
      </c>
      <c r="C44" s="15" t="s">
        <v>179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3" t="str">
        <f t="shared" si="0"/>
        <v>https://en.wikipedia.org/wiki/Blairstown_Township,_New_Jersey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180</v>
      </c>
      <c r="AM44" s="15" t="s">
        <v>181</v>
      </c>
      <c r="AN44" s="15"/>
      <c r="AO44" s="15"/>
      <c r="AP44" s="15" t="s">
        <v>182</v>
      </c>
      <c r="AQ44" s="15" t="s">
        <v>183</v>
      </c>
      <c r="AR44" s="15"/>
      <c r="AS44" s="15"/>
      <c r="AT44" s="15"/>
      <c r="AU44" s="15"/>
    </row>
    <row r="45" spans="1:47" ht="16" customHeight="1" x14ac:dyDescent="0.2">
      <c r="A45" s="13" t="s">
        <v>184</v>
      </c>
      <c r="B45" s="13" t="s">
        <v>147</v>
      </c>
      <c r="C45" s="13" t="s">
        <v>185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 t="str">
        <f t="shared" si="0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186</v>
      </c>
      <c r="B46" s="15" t="s">
        <v>187</v>
      </c>
      <c r="C46" s="15" t="s">
        <v>188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3" t="str">
        <f t="shared" si="0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189</v>
      </c>
      <c r="B47" s="13" t="s">
        <v>68</v>
      </c>
      <c r="C47" s="13" t="s">
        <v>190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 t="str">
        <f t="shared" si="0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191</v>
      </c>
      <c r="B48" s="15" t="s">
        <v>74</v>
      </c>
      <c r="C48" s="15" t="s">
        <v>192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3" t="str">
        <f t="shared" si="0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193</v>
      </c>
      <c r="B49" s="13" t="s">
        <v>194</v>
      </c>
      <c r="C49" s="13" t="s">
        <v>195</v>
      </c>
      <c r="D49" s="13" t="s">
        <v>155</v>
      </c>
      <c r="E49" s="13" t="s">
        <v>62</v>
      </c>
      <c r="F49" s="13"/>
      <c r="G49" s="13"/>
      <c r="H49" s="14"/>
      <c r="I49" s="13"/>
      <c r="J49" s="13"/>
      <c r="K49" s="13" t="str">
        <f t="shared" si="0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193</v>
      </c>
      <c r="B50" s="15" t="s">
        <v>194</v>
      </c>
      <c r="C50" s="15" t="s">
        <v>196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3" t="str">
        <f t="shared" si="0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197</v>
      </c>
      <c r="B51" s="13" t="s">
        <v>128</v>
      </c>
      <c r="C51" s="13" t="s">
        <v>198</v>
      </c>
      <c r="D51" s="13" t="s">
        <v>66</v>
      </c>
      <c r="E51" s="13" t="s">
        <v>156</v>
      </c>
      <c r="F51" s="13">
        <v>130</v>
      </c>
      <c r="G51" t="s">
        <v>1496</v>
      </c>
      <c r="H51" s="14">
        <v>45221</v>
      </c>
      <c r="I51" s="13"/>
      <c r="J51" s="13"/>
      <c r="K51" s="13" t="str">
        <f t="shared" si="0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197</v>
      </c>
      <c r="B52" s="15" t="s">
        <v>128</v>
      </c>
      <c r="C52" s="15" t="s">
        <v>199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3" t="str">
        <f t="shared" si="0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200</v>
      </c>
      <c r="B53" s="13" t="s">
        <v>144</v>
      </c>
      <c r="C53" s="13" t="s">
        <v>201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 t="str">
        <f t="shared" si="0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202</v>
      </c>
      <c r="B54" s="15" t="s">
        <v>59</v>
      </c>
      <c r="C54" s="15" t="s">
        <v>203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3" t="str">
        <f t="shared" si="0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204</v>
      </c>
      <c r="B55" s="13" t="s">
        <v>144</v>
      </c>
      <c r="C55" s="13" t="s">
        <v>205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 t="str">
        <f t="shared" si="0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206</v>
      </c>
      <c r="B56" s="15" t="s">
        <v>94</v>
      </c>
      <c r="C56" s="15" t="s">
        <v>207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3" t="str">
        <f t="shared" si="0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208</v>
      </c>
      <c r="B57" s="13" t="s">
        <v>121</v>
      </c>
      <c r="C57" s="13" t="s">
        <v>209</v>
      </c>
      <c r="D57" s="13" t="s">
        <v>61</v>
      </c>
      <c r="E57" s="13" t="s">
        <v>79</v>
      </c>
      <c r="F57" s="13">
        <v>100</v>
      </c>
      <c r="G57" t="s">
        <v>1527</v>
      </c>
      <c r="H57" s="14">
        <v>45150</v>
      </c>
      <c r="I57" s="13"/>
      <c r="J57" s="13"/>
      <c r="K57" s="13" t="str">
        <f t="shared" si="0"/>
        <v>https://en.wikipedia.org/wiki/Brick_Township,_New_Jersey</v>
      </c>
      <c r="L57" s="13" t="s">
        <v>1549</v>
      </c>
      <c r="M57" s="13" t="s">
        <v>211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 t="s">
        <v>1549</v>
      </c>
      <c r="AG57" s="13" t="s">
        <v>1554</v>
      </c>
      <c r="AH57" s="13"/>
      <c r="AI57" s="13"/>
      <c r="AJ57" s="13"/>
      <c r="AK57" s="13"/>
      <c r="AL57" s="13" t="s">
        <v>210</v>
      </c>
      <c r="AM57" s="13" t="s">
        <v>211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212</v>
      </c>
      <c r="B58" s="15" t="s">
        <v>213</v>
      </c>
      <c r="C58" s="15" t="s">
        <v>214</v>
      </c>
      <c r="D58" s="15" t="s">
        <v>66</v>
      </c>
      <c r="E58" s="15" t="s">
        <v>156</v>
      </c>
      <c r="F58" s="15">
        <v>201</v>
      </c>
      <c r="G58" t="s">
        <v>1458</v>
      </c>
      <c r="H58" s="16">
        <v>111208</v>
      </c>
      <c r="I58" s="15" t="s">
        <v>1473</v>
      </c>
      <c r="J58" s="15" t="s">
        <v>1472</v>
      </c>
      <c r="K58" s="13" t="str">
        <f t="shared" si="0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215</v>
      </c>
      <c r="B59" s="13" t="s">
        <v>144</v>
      </c>
      <c r="C59" s="13" t="s">
        <v>216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 t="str">
        <f t="shared" si="0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217</v>
      </c>
      <c r="B60" s="15" t="s">
        <v>59</v>
      </c>
      <c r="C60" s="15" t="s">
        <v>218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3" t="str">
        <f t="shared" si="0"/>
        <v>https://en.wikipedia.org/wiki/Brielle,_New_Jersey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219</v>
      </c>
      <c r="AM60" s="15" t="s">
        <v>220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221</v>
      </c>
      <c r="B61" s="13" t="s">
        <v>64</v>
      </c>
      <c r="C61" s="13" t="s">
        <v>222</v>
      </c>
      <c r="D61" s="13" t="s">
        <v>66</v>
      </c>
      <c r="E61" s="13" t="s">
        <v>101</v>
      </c>
      <c r="F61" s="13"/>
      <c r="G61" s="13" t="s">
        <v>223</v>
      </c>
      <c r="H61" s="14">
        <v>43678</v>
      </c>
      <c r="I61" s="13" t="s">
        <v>223</v>
      </c>
      <c r="J61" s="13" t="s">
        <v>224</v>
      </c>
      <c r="K61" s="13" t="str">
        <f t="shared" si="0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225</v>
      </c>
      <c r="B62" s="15" t="s">
        <v>109</v>
      </c>
      <c r="C62" s="15" t="s">
        <v>226</v>
      </c>
      <c r="D62" s="15" t="s">
        <v>76</v>
      </c>
      <c r="E62" s="15" t="s">
        <v>156</v>
      </c>
      <c r="F62" s="15">
        <v>274</v>
      </c>
      <c r="G62" s="15"/>
      <c r="H62" s="16">
        <v>45824</v>
      </c>
      <c r="I62" s="15"/>
      <c r="J62" s="15"/>
      <c r="K62" s="13" t="str">
        <f t="shared" si="0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227</v>
      </c>
      <c r="B63" s="13" t="s">
        <v>64</v>
      </c>
      <c r="C63" s="13" t="s">
        <v>228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 t="str">
        <f t="shared" si="0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229</v>
      </c>
      <c r="B64" s="15" t="s">
        <v>64</v>
      </c>
      <c r="C64" s="15" t="s">
        <v>230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3" t="str">
        <f t="shared" si="0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128</v>
      </c>
      <c r="B65" s="13" t="s">
        <v>128</v>
      </c>
      <c r="C65" s="13" t="s">
        <v>231</v>
      </c>
      <c r="D65" s="13" t="s">
        <v>66</v>
      </c>
      <c r="E65" s="13" t="s">
        <v>156</v>
      </c>
      <c r="F65" s="13">
        <v>247</v>
      </c>
      <c r="G65" t="s">
        <v>1497</v>
      </c>
      <c r="H65" s="14">
        <v>45613</v>
      </c>
      <c r="I65" s="13"/>
      <c r="J65" s="13"/>
      <c r="K65" s="13" t="str">
        <f t="shared" si="0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128</v>
      </c>
      <c r="B66" s="15" t="s">
        <v>128</v>
      </c>
      <c r="C66" s="15" t="s">
        <v>232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3" t="str">
        <f t="shared" si="0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233</v>
      </c>
      <c r="B67" s="13" t="s">
        <v>194</v>
      </c>
      <c r="C67" s="13" t="s">
        <v>234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 t="str">
        <f t="shared" si="0"/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235</v>
      </c>
      <c r="B68" s="15" t="s">
        <v>94</v>
      </c>
      <c r="C68" s="15" t="s">
        <v>236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3" t="str">
        <f t="shared" ref="K68:K131" si="1">IF(A68="","","https://en.wikipedia.org/wiki/"&amp;SUBSTITUTE(A68," ","_")&amp;IF(D68="township","_Township","")&amp;",_New_Jersey")</f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237</v>
      </c>
      <c r="B69" s="13" t="s">
        <v>147</v>
      </c>
      <c r="C69" s="13" t="s">
        <v>238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 t="str">
        <f t="shared" si="1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239</v>
      </c>
      <c r="B70" s="15" t="s">
        <v>68</v>
      </c>
      <c r="C70" s="15" t="s">
        <v>240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3" t="str">
        <f t="shared" si="1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109</v>
      </c>
      <c r="B71" s="13" t="s">
        <v>109</v>
      </c>
      <c r="C71" s="13" t="s">
        <v>241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 t="str">
        <f t="shared" si="1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114</v>
      </c>
      <c r="B72" s="15" t="s">
        <v>114</v>
      </c>
      <c r="C72" s="15" t="s">
        <v>242</v>
      </c>
      <c r="D72" s="15" t="s">
        <v>66</v>
      </c>
      <c r="E72" s="15" t="s">
        <v>101</v>
      </c>
      <c r="F72" s="15"/>
      <c r="G72" s="15" t="s">
        <v>1406</v>
      </c>
      <c r="H72" s="16">
        <v>42919</v>
      </c>
      <c r="I72" s="15" t="s">
        <v>1406</v>
      </c>
      <c r="J72" s="65" t="s">
        <v>1412</v>
      </c>
      <c r="K72" s="13" t="str">
        <f t="shared" si="1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243</v>
      </c>
      <c r="B73" s="13" t="s">
        <v>114</v>
      </c>
      <c r="C73" s="13" t="s">
        <v>244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 t="str">
        <f t="shared" si="1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245</v>
      </c>
      <c r="B74" s="15" t="s">
        <v>74</v>
      </c>
      <c r="C74" s="15" t="s">
        <v>246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3" t="str">
        <f t="shared" si="1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247</v>
      </c>
      <c r="B75" s="13" t="s">
        <v>87</v>
      </c>
      <c r="C75" s="13" t="s">
        <v>248</v>
      </c>
      <c r="D75" s="13" t="s">
        <v>61</v>
      </c>
      <c r="E75" s="13" t="s">
        <v>156</v>
      </c>
      <c r="F75" s="13">
        <v>264</v>
      </c>
      <c r="G75" t="s">
        <v>1484</v>
      </c>
      <c r="H75" s="14">
        <v>45703</v>
      </c>
      <c r="I75" s="13"/>
      <c r="J75" s="13"/>
      <c r="K75" s="13" t="str">
        <f t="shared" si="1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249</v>
      </c>
      <c r="B76" s="15" t="s">
        <v>250</v>
      </c>
      <c r="C76" s="15" t="s">
        <v>251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3" t="str">
        <f t="shared" si="1"/>
        <v>https://en.wikipedia.org/wiki/Carteret,_New_Jersey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252</v>
      </c>
      <c r="AM76" s="15" t="s">
        <v>253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254</v>
      </c>
      <c r="B77" s="13" t="s">
        <v>147</v>
      </c>
      <c r="C77" s="13" t="s">
        <v>255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 t="str">
        <f t="shared" si="1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256</v>
      </c>
      <c r="B78" s="15" t="s">
        <v>194</v>
      </c>
      <c r="C78" s="15" t="s">
        <v>257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3" t="str">
        <f t="shared" si="1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256</v>
      </c>
      <c r="B79" s="13" t="s">
        <v>194</v>
      </c>
      <c r="C79" s="13" t="s">
        <v>258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 t="str">
        <f t="shared" si="1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259</v>
      </c>
      <c r="B80" s="15" t="s">
        <v>109</v>
      </c>
      <c r="C80" s="15" t="s">
        <v>260</v>
      </c>
      <c r="D80" s="15" t="s">
        <v>61</v>
      </c>
      <c r="E80" s="15" t="s">
        <v>156</v>
      </c>
      <c r="F80" s="15">
        <v>281</v>
      </c>
      <c r="G80" s="15"/>
      <c r="H80" s="16">
        <v>45937</v>
      </c>
      <c r="I80" s="15"/>
      <c r="J80" s="15"/>
      <c r="K80" s="13" t="str">
        <f t="shared" si="1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261</v>
      </c>
      <c r="B81" s="13" t="s">
        <v>109</v>
      </c>
      <c r="C81" s="13" t="s">
        <v>262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 t="str">
        <f t="shared" si="1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263</v>
      </c>
      <c r="B82" s="15" t="s">
        <v>194</v>
      </c>
      <c r="C82" s="15" t="s">
        <v>264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3" t="str">
        <f t="shared" si="1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263</v>
      </c>
      <c r="B83" s="13" t="s">
        <v>194</v>
      </c>
      <c r="C83" s="13" t="s">
        <v>265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 t="str">
        <f t="shared" si="1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266</v>
      </c>
      <c r="B84" s="15" t="s">
        <v>128</v>
      </c>
      <c r="C84" s="15" t="s">
        <v>267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3" t="str">
        <f t="shared" si="1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268</v>
      </c>
      <c r="B85" s="13" t="s">
        <v>128</v>
      </c>
      <c r="C85" s="13" t="s">
        <v>269</v>
      </c>
      <c r="D85" s="13" t="s">
        <v>61</v>
      </c>
      <c r="E85" s="13" t="s">
        <v>156</v>
      </c>
      <c r="F85" s="13">
        <v>265</v>
      </c>
      <c r="G85" t="s">
        <v>1498</v>
      </c>
      <c r="H85" s="14">
        <v>45654</v>
      </c>
      <c r="I85" s="13"/>
      <c r="J85" s="13"/>
      <c r="K85" s="13" t="str">
        <f t="shared" si="1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270</v>
      </c>
      <c r="B86" s="15" t="s">
        <v>147</v>
      </c>
      <c r="C86" s="15" t="s">
        <v>271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3" t="str">
        <f t="shared" si="1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272</v>
      </c>
      <c r="B87" s="13" t="s">
        <v>163</v>
      </c>
      <c r="C87" s="13" t="s">
        <v>273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 t="str">
        <f t="shared" si="1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274</v>
      </c>
      <c r="B88" s="15" t="s">
        <v>275</v>
      </c>
      <c r="C88" s="15" t="s">
        <v>276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3" t="str">
        <f t="shared" si="1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277</v>
      </c>
      <c r="B89" s="13" t="s">
        <v>109</v>
      </c>
      <c r="C89" s="13" t="s">
        <v>278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 t="str">
        <f t="shared" si="1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279</v>
      </c>
      <c r="B90" s="15" t="s">
        <v>74</v>
      </c>
      <c r="C90" s="15" t="s">
        <v>280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3" t="str">
        <f t="shared" si="1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281</v>
      </c>
      <c r="B91" s="13" t="s">
        <v>187</v>
      </c>
      <c r="C91" s="13" t="s">
        <v>282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 t="str">
        <f t="shared" si="1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283</v>
      </c>
      <c r="B92" s="15" t="s">
        <v>68</v>
      </c>
      <c r="C92" s="15" t="s">
        <v>284</v>
      </c>
      <c r="D92" s="15" t="s">
        <v>155</v>
      </c>
      <c r="E92" s="15" t="s">
        <v>79</v>
      </c>
      <c r="F92" s="15"/>
      <c r="G92" s="15"/>
      <c r="H92" s="16"/>
      <c r="I92" s="15"/>
      <c r="J92" s="15"/>
      <c r="K92" s="13" t="str">
        <f t="shared" si="1"/>
        <v>https://en.wikipedia.org/wiki/Clinton,_New_Jersey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285</v>
      </c>
      <c r="AM92" s="15" t="s">
        <v>286</v>
      </c>
      <c r="AN92" s="15"/>
      <c r="AO92" s="15"/>
      <c r="AP92" s="15" t="s">
        <v>287</v>
      </c>
      <c r="AQ92" s="15" t="s">
        <v>288</v>
      </c>
      <c r="AR92" s="15"/>
      <c r="AS92" s="15"/>
      <c r="AT92" s="15"/>
      <c r="AU92" s="15"/>
    </row>
    <row r="93" spans="1:47" ht="16" customHeight="1" x14ac:dyDescent="0.2">
      <c r="A93" s="13" t="s">
        <v>283</v>
      </c>
      <c r="B93" s="13" t="s">
        <v>68</v>
      </c>
      <c r="C93" s="13" t="s">
        <v>289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 t="str">
        <f t="shared" si="1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290</v>
      </c>
      <c r="B94" s="15" t="s">
        <v>74</v>
      </c>
      <c r="C94" s="15" t="s">
        <v>291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3" t="str">
        <f t="shared" si="1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292</v>
      </c>
      <c r="B95" s="13" t="s">
        <v>109</v>
      </c>
      <c r="C95" s="13" t="s">
        <v>293</v>
      </c>
      <c r="D95" s="13" t="s">
        <v>76</v>
      </c>
      <c r="E95" s="13" t="s">
        <v>156</v>
      </c>
      <c r="F95" s="13">
        <v>255</v>
      </c>
      <c r="G95" s="13"/>
      <c r="H95" s="14">
        <v>45654</v>
      </c>
      <c r="I95" s="13"/>
      <c r="J95" s="13"/>
      <c r="K95" s="13" t="str">
        <f t="shared" si="1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294</v>
      </c>
      <c r="B96" s="15" t="s">
        <v>59</v>
      </c>
      <c r="C96" s="15" t="s">
        <v>295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3" t="str">
        <f t="shared" si="1"/>
        <v>https://en.wikipedia.org/wiki/Colts_Neck_Township,_New_Jersey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296</v>
      </c>
      <c r="AM96" s="15" t="s">
        <v>297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298</v>
      </c>
      <c r="B97" s="13" t="s">
        <v>213</v>
      </c>
      <c r="C97" s="13" t="s">
        <v>299</v>
      </c>
      <c r="D97" s="13" t="s">
        <v>61</v>
      </c>
      <c r="E97" s="13" t="s">
        <v>156</v>
      </c>
      <c r="F97" s="13">
        <v>171</v>
      </c>
      <c r="G97" t="s">
        <v>1459</v>
      </c>
      <c r="H97" s="14">
        <v>45318</v>
      </c>
      <c r="I97" s="13"/>
      <c r="J97" s="13"/>
      <c r="K97" s="13" t="str">
        <f t="shared" si="1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300</v>
      </c>
      <c r="B98" s="15" t="s">
        <v>64</v>
      </c>
      <c r="C98" s="15" t="s">
        <v>301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3" t="str">
        <f t="shared" si="1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302</v>
      </c>
      <c r="B99" s="13" t="s">
        <v>250</v>
      </c>
      <c r="C99" s="13" t="s">
        <v>303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 t="str">
        <f t="shared" si="1"/>
        <v>https://en.wikipedia.org/wiki/Cranbury_Township,_New_Jersey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304</v>
      </c>
      <c r="AM99" s="13" t="s">
        <v>305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306</v>
      </c>
      <c r="B100" s="15" t="s">
        <v>163</v>
      </c>
      <c r="C100" s="15" t="s">
        <v>307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3" t="str">
        <f t="shared" si="1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308</v>
      </c>
      <c r="B101" s="13" t="s">
        <v>74</v>
      </c>
      <c r="C101" s="13" t="s">
        <v>309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 t="str">
        <f t="shared" si="1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310</v>
      </c>
      <c r="B102" s="15" t="s">
        <v>59</v>
      </c>
      <c r="C102" s="15" t="s">
        <v>311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3" t="str">
        <f t="shared" si="1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312</v>
      </c>
      <c r="B103" s="13" t="s">
        <v>213</v>
      </c>
      <c r="C103" s="13" t="s">
        <v>313</v>
      </c>
      <c r="D103" s="13" t="s">
        <v>61</v>
      </c>
      <c r="E103" s="13" t="s">
        <v>156</v>
      </c>
      <c r="F103" s="13">
        <v>205</v>
      </c>
      <c r="G103" t="s">
        <v>1460</v>
      </c>
      <c r="H103" s="14">
        <v>45466</v>
      </c>
      <c r="I103" s="13"/>
      <c r="J103" s="13"/>
      <c r="K103" s="13" t="str">
        <f t="shared" si="1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314</v>
      </c>
      <c r="B104" s="15" t="s">
        <v>128</v>
      </c>
      <c r="C104" s="15" t="s">
        <v>315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3" t="str">
        <f t="shared" si="1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316</v>
      </c>
      <c r="B105" s="13" t="s">
        <v>68</v>
      </c>
      <c r="C105" s="13" t="s">
        <v>317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 t="str">
        <f t="shared" si="1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318</v>
      </c>
      <c r="B106" s="15" t="s">
        <v>128</v>
      </c>
      <c r="C106" s="15" t="s">
        <v>319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3" t="str">
        <f t="shared" si="1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320</v>
      </c>
      <c r="B107" s="13" t="s">
        <v>74</v>
      </c>
      <c r="C107" s="13" t="s">
        <v>321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 t="str">
        <f t="shared" si="1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322</v>
      </c>
      <c r="B108" s="15" t="s">
        <v>114</v>
      </c>
      <c r="C108" s="15" t="s">
        <v>323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3" t="str">
        <f t="shared" si="1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324</v>
      </c>
      <c r="B109" s="13" t="s">
        <v>194</v>
      </c>
      <c r="C109" s="13" t="s">
        <v>325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 t="str">
        <f t="shared" si="1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326</v>
      </c>
      <c r="B110" s="15" t="s">
        <v>275</v>
      </c>
      <c r="C110" s="15" t="s">
        <v>327</v>
      </c>
      <c r="D110" s="15" t="s">
        <v>61</v>
      </c>
      <c r="E110" s="15" t="s">
        <v>156</v>
      </c>
      <c r="F110" s="15">
        <v>158</v>
      </c>
      <c r="G110" s="66" t="s">
        <v>1474</v>
      </c>
      <c r="H110" s="16">
        <v>45283</v>
      </c>
      <c r="I110" s="15"/>
      <c r="J110" s="15"/>
      <c r="K110" s="13" t="str">
        <f t="shared" si="1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328</v>
      </c>
      <c r="B111" s="13" t="s">
        <v>194</v>
      </c>
      <c r="C111" s="13" t="s">
        <v>329</v>
      </c>
      <c r="D111" s="13" t="s">
        <v>155</v>
      </c>
      <c r="E111" s="13" t="s">
        <v>62</v>
      </c>
      <c r="F111" s="13"/>
      <c r="G111" s="13"/>
      <c r="H111" s="14"/>
      <c r="I111" s="13"/>
      <c r="J111" s="13"/>
      <c r="K111" s="13" t="str">
        <f t="shared" si="1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330</v>
      </c>
      <c r="B112" s="15" t="s">
        <v>213</v>
      </c>
      <c r="C112" s="15" t="s">
        <v>331</v>
      </c>
      <c r="D112" s="15" t="s">
        <v>61</v>
      </c>
      <c r="E112" s="15" t="s">
        <v>156</v>
      </c>
      <c r="F112" s="15">
        <v>203</v>
      </c>
      <c r="G112" t="s">
        <v>1461</v>
      </c>
      <c r="H112" s="16">
        <v>45465</v>
      </c>
      <c r="I112" s="15"/>
      <c r="J112" s="15"/>
      <c r="K112" s="13" t="str">
        <f t="shared" si="1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332</v>
      </c>
      <c r="B113" s="13" t="s">
        <v>74</v>
      </c>
      <c r="C113" s="13" t="s">
        <v>333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 t="str">
        <f t="shared" si="1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334</v>
      </c>
      <c r="B114" s="15" t="s">
        <v>250</v>
      </c>
      <c r="C114" s="15" t="s">
        <v>335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3" t="str">
        <f t="shared" si="1"/>
        <v>https://en.wikipedia.org/wiki/Dunellen,_New_Jersey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336</v>
      </c>
      <c r="AM114" s="15" t="s">
        <v>337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338</v>
      </c>
      <c r="B115" s="13" t="s">
        <v>121</v>
      </c>
      <c r="C115" s="13" t="s">
        <v>339</v>
      </c>
      <c r="D115" s="13" t="s">
        <v>61</v>
      </c>
      <c r="E115" s="13" t="s">
        <v>156</v>
      </c>
      <c r="F115" s="13">
        <v>164</v>
      </c>
      <c r="G115" t="s">
        <v>1528</v>
      </c>
      <c r="H115" s="14">
        <v>45297</v>
      </c>
      <c r="I115" s="13"/>
      <c r="J115" s="13"/>
      <c r="K115" s="13" t="str">
        <f t="shared" si="1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340</v>
      </c>
      <c r="B116" s="15" t="s">
        <v>68</v>
      </c>
      <c r="C116" s="15" t="s">
        <v>341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3" t="str">
        <f t="shared" si="1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342</v>
      </c>
      <c r="B117" s="13" t="s">
        <v>250</v>
      </c>
      <c r="C117" s="13" t="s">
        <v>343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 t="str">
        <f t="shared" si="1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344</v>
      </c>
      <c r="B118" s="15" t="s">
        <v>275</v>
      </c>
      <c r="C118" s="15" t="s">
        <v>345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3" t="str">
        <f t="shared" si="1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346</v>
      </c>
      <c r="B119" s="13" t="s">
        <v>194</v>
      </c>
      <c r="C119" s="13" t="s">
        <v>347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 t="str">
        <f t="shared" si="1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348</v>
      </c>
      <c r="B120" s="15" t="s">
        <v>133</v>
      </c>
      <c r="C120" s="15" t="s">
        <v>349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3" t="str">
        <f t="shared" si="1"/>
        <v>https://en.wikipedia.org/wiki/East_Newark,_New_Jersey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350</v>
      </c>
      <c r="AM120" s="15" t="s">
        <v>351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352</v>
      </c>
      <c r="B121" s="13" t="s">
        <v>147</v>
      </c>
      <c r="C121" s="13" t="s">
        <v>353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 t="str">
        <f t="shared" si="1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354</v>
      </c>
      <c r="B122" s="15" t="s">
        <v>74</v>
      </c>
      <c r="C122" s="15" t="s">
        <v>355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3" t="str">
        <f t="shared" si="1"/>
        <v>https://en.wikipedia.org/wiki/East_Rutherford,_New_Jersey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356</v>
      </c>
      <c r="AM122" s="15" t="s">
        <v>357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358</v>
      </c>
      <c r="B123" s="13" t="s">
        <v>359</v>
      </c>
      <c r="C123" s="13" t="s">
        <v>360</v>
      </c>
      <c r="D123" s="13" t="s">
        <v>61</v>
      </c>
      <c r="E123" s="13" t="s">
        <v>62</v>
      </c>
      <c r="F123" s="13"/>
      <c r="G123" s="13"/>
      <c r="H123" s="14"/>
      <c r="I123" s="13"/>
      <c r="J123" s="13"/>
      <c r="K123" s="13" t="str">
        <f t="shared" si="1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361</v>
      </c>
      <c r="B124" s="15" t="s">
        <v>128</v>
      </c>
      <c r="C124" s="15" t="s">
        <v>362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3" t="str">
        <f t="shared" si="1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363</v>
      </c>
      <c r="B125" s="13" t="s">
        <v>59</v>
      </c>
      <c r="C125" s="13" t="s">
        <v>364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 t="str">
        <f t="shared" si="1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365</v>
      </c>
      <c r="B126" s="15" t="s">
        <v>74</v>
      </c>
      <c r="C126" s="15" t="s">
        <v>366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3" t="str">
        <f t="shared" si="1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367</v>
      </c>
      <c r="B127" s="13" t="s">
        <v>128</v>
      </c>
      <c r="C127" s="13" t="s">
        <v>368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 t="str">
        <f t="shared" si="1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369</v>
      </c>
      <c r="B128" s="15" t="s">
        <v>250</v>
      </c>
      <c r="C128" s="15" t="s">
        <v>370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3" t="str">
        <f t="shared" si="1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371</v>
      </c>
      <c r="B129" s="13" t="s">
        <v>64</v>
      </c>
      <c r="C129" s="13" t="s">
        <v>372</v>
      </c>
      <c r="D129" s="13" t="s">
        <v>61</v>
      </c>
      <c r="E129" s="13" t="s">
        <v>156</v>
      </c>
      <c r="F129" s="15">
        <v>260</v>
      </c>
      <c r="G129" s="15" t="s">
        <v>375</v>
      </c>
      <c r="H129" s="16">
        <v>45660</v>
      </c>
      <c r="I129" s="13"/>
      <c r="J129" s="13"/>
      <c r="K129" s="13" t="str">
        <f t="shared" si="1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373</v>
      </c>
      <c r="B130" s="15" t="s">
        <v>64</v>
      </c>
      <c r="C130" s="15" t="s">
        <v>374</v>
      </c>
      <c r="D130" s="15" t="s">
        <v>66</v>
      </c>
      <c r="E130" s="15" t="s">
        <v>62</v>
      </c>
      <c r="I130" s="15"/>
      <c r="J130" s="15"/>
      <c r="K130" s="13" t="str">
        <f t="shared" si="1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376</v>
      </c>
      <c r="B131" s="13" t="s">
        <v>163</v>
      </c>
      <c r="C131" s="13" t="s">
        <v>377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 t="str">
        <f t="shared" si="1"/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378</v>
      </c>
      <c r="B132" s="15" t="s">
        <v>275</v>
      </c>
      <c r="C132" s="15" t="s">
        <v>379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3" t="str">
        <f t="shared" ref="K132:K193" si="2">IF(A132="","","https://en.wikipedia.org/wiki/"&amp;SUBSTITUTE(A132," ","_")&amp;IF(D132="township","_Township","")&amp;",_New_Jersey")</f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380</v>
      </c>
      <c r="B133" s="13" t="s">
        <v>87</v>
      </c>
      <c r="C133" s="13" t="s">
        <v>381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 t="str">
        <f t="shared" si="2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382</v>
      </c>
      <c r="B134" s="15" t="s">
        <v>74</v>
      </c>
      <c r="C134" s="15" t="s">
        <v>383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3" t="str">
        <f t="shared" si="2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384</v>
      </c>
      <c r="B135" s="13" t="s">
        <v>87</v>
      </c>
      <c r="C135" s="13" t="s">
        <v>385</v>
      </c>
      <c r="D135" s="13" t="s">
        <v>61</v>
      </c>
      <c r="E135" s="13" t="s">
        <v>156</v>
      </c>
      <c r="F135" s="13">
        <v>184</v>
      </c>
      <c r="G135" t="s">
        <v>1485</v>
      </c>
      <c r="H135" s="14">
        <v>45388</v>
      </c>
      <c r="I135" s="13"/>
      <c r="J135" s="13"/>
      <c r="K135" s="13" t="str">
        <f t="shared" si="2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386</v>
      </c>
      <c r="B136" s="15" t="s">
        <v>74</v>
      </c>
      <c r="C136" s="15" t="s">
        <v>387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3" t="str">
        <f t="shared" si="2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388</v>
      </c>
      <c r="B137" s="13" t="s">
        <v>74</v>
      </c>
      <c r="C137" s="13" t="s">
        <v>389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 t="str">
        <f t="shared" si="2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390</v>
      </c>
      <c r="B138" s="15" t="s">
        <v>74</v>
      </c>
      <c r="C138" s="15" t="s">
        <v>391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3" t="str">
        <f t="shared" si="2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392</v>
      </c>
      <c r="B139" s="13" t="s">
        <v>59</v>
      </c>
      <c r="C139" s="13" t="s">
        <v>393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 t="str">
        <f t="shared" si="2"/>
        <v>https://en.wikipedia.org/wiki/Englishtown,_New_Jersey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394</v>
      </c>
      <c r="AM139" s="13" t="s">
        <v>395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396</v>
      </c>
      <c r="B140" s="15" t="s">
        <v>147</v>
      </c>
      <c r="C140" s="15" t="s">
        <v>397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3" t="str">
        <f t="shared" si="2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398</v>
      </c>
      <c r="B141" s="13" t="s">
        <v>64</v>
      </c>
      <c r="C141" s="13" t="s">
        <v>399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 t="str">
        <f t="shared" si="2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400</v>
      </c>
      <c r="B142" s="15" t="s">
        <v>128</v>
      </c>
      <c r="C142" s="15" t="s">
        <v>401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3" t="str">
        <f t="shared" si="2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402</v>
      </c>
      <c r="B143" s="13" t="s">
        <v>359</v>
      </c>
      <c r="C143" s="13" t="s">
        <v>403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 t="str">
        <f t="shared" si="2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404</v>
      </c>
      <c r="B144" s="15" t="s">
        <v>59</v>
      </c>
      <c r="C144" s="15" t="s">
        <v>405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3" t="str">
        <f t="shared" si="2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406</v>
      </c>
      <c r="B145" s="13" t="s">
        <v>74</v>
      </c>
      <c r="C145" s="13" t="s">
        <v>407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 t="str">
        <f t="shared" si="2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408</v>
      </c>
      <c r="B146" s="15" t="s">
        <v>213</v>
      </c>
      <c r="C146" s="15" t="s">
        <v>409</v>
      </c>
      <c r="D146" s="15" t="s">
        <v>61</v>
      </c>
      <c r="E146" s="15" t="s">
        <v>156</v>
      </c>
      <c r="F146" s="15">
        <v>202</v>
      </c>
      <c r="G146" t="s">
        <v>1462</v>
      </c>
      <c r="H146" s="16">
        <v>111208</v>
      </c>
      <c r="I146" s="15"/>
      <c r="J146" s="15"/>
      <c r="K146" s="13" t="s">
        <v>1417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408</v>
      </c>
      <c r="B147" s="13" t="s">
        <v>147</v>
      </c>
      <c r="C147" s="13" t="s">
        <v>410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 t="s">
        <v>1418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411</v>
      </c>
      <c r="B148" s="15" t="s">
        <v>74</v>
      </c>
      <c r="C148" s="15" t="s">
        <v>412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3" t="str">
        <f t="shared" si="2"/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413</v>
      </c>
      <c r="B149" s="13" t="s">
        <v>163</v>
      </c>
      <c r="C149" s="13" t="s">
        <v>414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 t="str">
        <f t="shared" si="2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415</v>
      </c>
      <c r="B150" s="15" t="s">
        <v>144</v>
      </c>
      <c r="C150" s="15" t="s">
        <v>416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3" t="str">
        <f t="shared" si="2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417</v>
      </c>
      <c r="B151" s="13" t="s">
        <v>59</v>
      </c>
      <c r="C151" s="13" t="s">
        <v>418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 t="str">
        <f t="shared" si="2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419</v>
      </c>
      <c r="B152" s="15" t="s">
        <v>128</v>
      </c>
      <c r="C152" s="15" t="s">
        <v>420</v>
      </c>
      <c r="D152" s="15" t="s">
        <v>76</v>
      </c>
      <c r="E152" s="15" t="s">
        <v>156</v>
      </c>
      <c r="F152" s="15">
        <v>263</v>
      </c>
      <c r="G152" t="s">
        <v>1499</v>
      </c>
      <c r="H152" s="16">
        <v>45682</v>
      </c>
      <c r="I152" s="15"/>
      <c r="J152" s="15"/>
      <c r="K152" s="13" t="str">
        <f t="shared" si="2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421</v>
      </c>
      <c r="B153" s="13" t="s">
        <v>68</v>
      </c>
      <c r="C153" s="13" t="s">
        <v>422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 t="str">
        <f t="shared" si="2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423</v>
      </c>
      <c r="B154" s="15" t="s">
        <v>128</v>
      </c>
      <c r="C154" s="15" t="s">
        <v>424</v>
      </c>
      <c r="D154" s="15" t="s">
        <v>61</v>
      </c>
      <c r="E154" s="15" t="s">
        <v>101</v>
      </c>
      <c r="F154" s="15"/>
      <c r="G154" t="s">
        <v>1501</v>
      </c>
      <c r="H154" s="16">
        <v>45073</v>
      </c>
      <c r="I154" s="15"/>
      <c r="J154" s="15"/>
      <c r="K154" s="13" t="str">
        <f t="shared" si="2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425</v>
      </c>
      <c r="B155" s="13" t="s">
        <v>194</v>
      </c>
      <c r="C155" s="13" t="s">
        <v>426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 t="str">
        <f t="shared" si="2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427</v>
      </c>
      <c r="B156" s="15" t="s">
        <v>64</v>
      </c>
      <c r="C156" s="15" t="s">
        <v>428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3" t="str">
        <f t="shared" si="2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429</v>
      </c>
      <c r="B157" s="13" t="s">
        <v>74</v>
      </c>
      <c r="C157" s="13" t="s">
        <v>430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 t="str">
        <f t="shared" si="2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431</v>
      </c>
      <c r="B158" s="15" t="s">
        <v>94</v>
      </c>
      <c r="C158" s="15" t="s">
        <v>432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3" t="str">
        <f t="shared" si="2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433</v>
      </c>
      <c r="B159" s="13" t="s">
        <v>275</v>
      </c>
      <c r="C159" s="13" t="s">
        <v>434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 t="s">
        <v>1419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433</v>
      </c>
      <c r="B160" s="15" t="s">
        <v>68</v>
      </c>
      <c r="C160" s="15" t="s">
        <v>435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3" t="s">
        <v>1420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433</v>
      </c>
      <c r="B161" s="13" t="s">
        <v>144</v>
      </c>
      <c r="C161" s="13" t="s">
        <v>436</v>
      </c>
      <c r="D161" s="13" t="s">
        <v>61</v>
      </c>
      <c r="E161" s="13" t="s">
        <v>101</v>
      </c>
      <c r="F161" s="13">
        <v>87</v>
      </c>
      <c r="G161" s="13" t="s">
        <v>437</v>
      </c>
      <c r="H161" s="14">
        <v>45109</v>
      </c>
      <c r="I161" s="13"/>
      <c r="J161" s="13"/>
      <c r="K161" s="13" t="s">
        <v>1421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433</v>
      </c>
      <c r="B162" s="15" t="s">
        <v>94</v>
      </c>
      <c r="C162" s="15" t="s">
        <v>438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3" t="s">
        <v>1422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433</v>
      </c>
      <c r="B163" s="13" t="s">
        <v>71</v>
      </c>
      <c r="C163" s="13" t="s">
        <v>439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 t="s">
        <v>1423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440</v>
      </c>
      <c r="B164" s="15" t="s">
        <v>74</v>
      </c>
      <c r="C164" s="15" t="s">
        <v>441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3" t="str">
        <f t="shared" si="2"/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442</v>
      </c>
      <c r="B165" s="13" t="s">
        <v>94</v>
      </c>
      <c r="C165" s="13" t="s">
        <v>443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 t="str">
        <f t="shared" si="2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444</v>
      </c>
      <c r="B166" s="15" t="s">
        <v>59</v>
      </c>
      <c r="C166" s="15" t="s">
        <v>445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3" t="str">
        <f t="shared" si="2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444</v>
      </c>
      <c r="B167" s="13" t="s">
        <v>59</v>
      </c>
      <c r="C167" s="13" t="s">
        <v>446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 t="str">
        <f t="shared" si="2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447</v>
      </c>
      <c r="B168" s="15" t="s">
        <v>71</v>
      </c>
      <c r="C168" s="15" t="s">
        <v>448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3" t="str">
        <f t="shared" si="2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449</v>
      </c>
      <c r="B169" s="13" t="s">
        <v>68</v>
      </c>
      <c r="C169" s="13" t="s">
        <v>450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 t="str">
        <f t="shared" si="2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451</v>
      </c>
      <c r="B170" s="15" t="s">
        <v>64</v>
      </c>
      <c r="C170" s="15" t="s">
        <v>452</v>
      </c>
      <c r="D170" s="15" t="s">
        <v>61</v>
      </c>
      <c r="E170" s="15" t="s">
        <v>101</v>
      </c>
      <c r="F170" s="15"/>
      <c r="G170" s="15" t="s">
        <v>453</v>
      </c>
      <c r="H170" s="16">
        <v>43639</v>
      </c>
      <c r="I170" s="15" t="s">
        <v>453</v>
      </c>
      <c r="J170" s="15" t="s">
        <v>454</v>
      </c>
      <c r="K170" s="13" t="str">
        <f t="shared" si="2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455</v>
      </c>
      <c r="B171" s="13" t="s">
        <v>74</v>
      </c>
      <c r="C171" s="13" t="s">
        <v>456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 t="str">
        <f t="shared" si="2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457</v>
      </c>
      <c r="B172" s="15" t="s">
        <v>163</v>
      </c>
      <c r="C172" s="15" t="s">
        <v>458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3" t="str">
        <f t="shared" si="2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459</v>
      </c>
      <c r="B173" s="13" t="s">
        <v>109</v>
      </c>
      <c r="C173" s="13" t="s">
        <v>460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 t="str">
        <f t="shared" si="2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461</v>
      </c>
      <c r="B174" s="15" t="s">
        <v>275</v>
      </c>
      <c r="C174" s="15" t="s">
        <v>462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3" t="str">
        <f t="shared" si="2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463</v>
      </c>
      <c r="B175" s="13" t="s">
        <v>68</v>
      </c>
      <c r="C175" s="13" t="s">
        <v>464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 t="str">
        <f t="shared" si="2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465</v>
      </c>
      <c r="B176" s="15" t="s">
        <v>147</v>
      </c>
      <c r="C176" s="15" t="s">
        <v>466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3" t="str">
        <f t="shared" si="2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467</v>
      </c>
      <c r="B177" s="13" t="s">
        <v>74</v>
      </c>
      <c r="C177" s="13" t="s">
        <v>468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 t="str">
        <f t="shared" si="2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275</v>
      </c>
      <c r="B178" s="15" t="s">
        <v>109</v>
      </c>
      <c r="C178" s="15" t="s">
        <v>469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3" t="str">
        <f t="shared" si="2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470</v>
      </c>
      <c r="B179" s="13" t="s">
        <v>109</v>
      </c>
      <c r="C179" s="13" t="s">
        <v>471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 t="str">
        <f t="shared" si="2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472</v>
      </c>
      <c r="B180" s="15" t="s">
        <v>94</v>
      </c>
      <c r="C180" s="15" t="s">
        <v>473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3" t="str">
        <f t="shared" si="2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474</v>
      </c>
      <c r="B181" s="13" t="s">
        <v>144</v>
      </c>
      <c r="C181" s="13" t="s">
        <v>475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 t="str">
        <f t="shared" si="2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476</v>
      </c>
      <c r="B182" s="15" t="s">
        <v>213</v>
      </c>
      <c r="C182" s="15" t="s">
        <v>477</v>
      </c>
      <c r="D182" s="15" t="s">
        <v>61</v>
      </c>
      <c r="E182" s="15" t="s">
        <v>156</v>
      </c>
      <c r="F182" s="15">
        <v>185</v>
      </c>
      <c r="G182" t="s">
        <v>1463</v>
      </c>
      <c r="H182" s="16">
        <v>45388</v>
      </c>
      <c r="I182" s="15"/>
      <c r="J182" s="15"/>
      <c r="K182" s="13" t="s">
        <v>1424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476</v>
      </c>
      <c r="B183" s="13" t="s">
        <v>275</v>
      </c>
      <c r="C183" s="13" t="s">
        <v>478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 t="s">
        <v>1425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476</v>
      </c>
      <c r="B184" s="15" t="s">
        <v>71</v>
      </c>
      <c r="C184" s="15" t="s">
        <v>479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3" t="s">
        <v>1426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480</v>
      </c>
      <c r="B185" s="13" t="s">
        <v>133</v>
      </c>
      <c r="C185" s="13" t="s">
        <v>481</v>
      </c>
      <c r="D185" s="13" t="s">
        <v>155</v>
      </c>
      <c r="E185" s="13" t="s">
        <v>79</v>
      </c>
      <c r="F185" s="13"/>
      <c r="G185" s="13"/>
      <c r="H185" s="14"/>
      <c r="I185" s="13"/>
      <c r="J185" s="13"/>
      <c r="K185" s="13" t="str">
        <f t="shared" si="2"/>
        <v>https://en.wikipedia.org/wiki/Guttenberg,_New_Jersey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482</v>
      </c>
      <c r="AM185" s="13" t="s">
        <v>483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484</v>
      </c>
      <c r="B186" s="15" t="s">
        <v>74</v>
      </c>
      <c r="C186" s="15" t="s">
        <v>485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3" t="str">
        <f t="shared" si="2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486</v>
      </c>
      <c r="B187" s="13" t="s">
        <v>71</v>
      </c>
      <c r="C187" s="13" t="s">
        <v>487</v>
      </c>
      <c r="D187" s="13" t="s">
        <v>155</v>
      </c>
      <c r="E187" s="13" t="s">
        <v>62</v>
      </c>
      <c r="F187" s="13"/>
      <c r="G187" s="13"/>
      <c r="H187" s="14"/>
      <c r="I187" s="13"/>
      <c r="J187" s="13"/>
      <c r="K187" s="13" t="str">
        <f t="shared" si="2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488</v>
      </c>
      <c r="B188" s="15" t="s">
        <v>109</v>
      </c>
      <c r="C188" s="15" t="s">
        <v>489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3" t="str">
        <f t="shared" si="2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490</v>
      </c>
      <c r="B189" s="13" t="s">
        <v>109</v>
      </c>
      <c r="C189" s="13" t="s">
        <v>491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 t="str">
        <f t="shared" si="2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492</v>
      </c>
      <c r="B190" s="15" t="s">
        <v>109</v>
      </c>
      <c r="C190" s="15" t="s">
        <v>493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3" t="str">
        <f t="shared" si="2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494</v>
      </c>
      <c r="B191" s="13" t="s">
        <v>128</v>
      </c>
      <c r="C191" s="13" t="s">
        <v>495</v>
      </c>
      <c r="D191" s="13" t="s">
        <v>61</v>
      </c>
      <c r="E191" s="13" t="s">
        <v>79</v>
      </c>
      <c r="F191" s="13">
        <v>115</v>
      </c>
      <c r="G191" t="s">
        <v>1500</v>
      </c>
      <c r="H191" s="14">
        <v>45178</v>
      </c>
      <c r="I191" s="13"/>
      <c r="J191" s="13"/>
      <c r="K191" s="13" t="str">
        <f t="shared" si="2"/>
        <v>https://en.wikipedia.org/wiki/Hainesport_Township,_New_Jersey</v>
      </c>
      <c r="L191" s="13" t="s">
        <v>1514</v>
      </c>
      <c r="M191" s="13" t="s">
        <v>497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1514</v>
      </c>
      <c r="AG191" s="13" t="s">
        <v>1513</v>
      </c>
      <c r="AH191" s="13"/>
      <c r="AI191" s="13"/>
      <c r="AJ191" s="13"/>
      <c r="AK191" s="13"/>
      <c r="AL191" s="13" t="s">
        <v>496</v>
      </c>
      <c r="AM191" s="13" t="s">
        <v>497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498</v>
      </c>
      <c r="B192" s="15" t="s">
        <v>187</v>
      </c>
      <c r="C192" s="15" t="s">
        <v>499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3" t="str">
        <f t="shared" si="2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500</v>
      </c>
      <c r="B193" s="13" t="s">
        <v>94</v>
      </c>
      <c r="C193" s="13" t="s">
        <v>501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 t="str">
        <f t="shared" si="2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502</v>
      </c>
      <c r="B194" s="15" t="s">
        <v>64</v>
      </c>
      <c r="C194" s="15" t="s">
        <v>503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3" t="s">
        <v>1427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502</v>
      </c>
      <c r="B195" s="13" t="s">
        <v>359</v>
      </c>
      <c r="C195" s="13" t="s">
        <v>504</v>
      </c>
      <c r="D195" s="13" t="s">
        <v>61</v>
      </c>
      <c r="E195" s="13" t="s">
        <v>62</v>
      </c>
      <c r="F195" s="13"/>
      <c r="G195" s="13"/>
      <c r="H195" s="14"/>
      <c r="I195" s="13"/>
      <c r="J195" s="13"/>
      <c r="K195" s="13" t="s">
        <v>1428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505</v>
      </c>
      <c r="B196" s="15" t="s">
        <v>64</v>
      </c>
      <c r="C196" s="15" t="s">
        <v>506</v>
      </c>
      <c r="D196" s="15" t="s">
        <v>155</v>
      </c>
      <c r="E196" s="15" t="s">
        <v>62</v>
      </c>
      <c r="F196" s="15"/>
      <c r="G196" s="15"/>
      <c r="H196" s="16"/>
      <c r="I196" s="15"/>
      <c r="J196" s="15"/>
      <c r="K196" s="13" t="str">
        <f t="shared" ref="K196:K259" si="3"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507</v>
      </c>
      <c r="B197" s="13" t="s">
        <v>68</v>
      </c>
      <c r="C197" s="13" t="s">
        <v>508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 t="s">
        <v>1429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507</v>
      </c>
      <c r="B198" s="15" t="s">
        <v>94</v>
      </c>
      <c r="C198" s="15" t="s">
        <v>509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3" t="s">
        <v>1430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510</v>
      </c>
      <c r="B199" s="13" t="s">
        <v>194</v>
      </c>
      <c r="C199" s="13" t="s">
        <v>511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 t="str">
        <f t="shared" si="3"/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512</v>
      </c>
      <c r="B200" s="15" t="s">
        <v>194</v>
      </c>
      <c r="C200" s="15" t="s">
        <v>513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3" t="str">
        <f t="shared" si="3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514</v>
      </c>
      <c r="B201" s="13" t="s">
        <v>71</v>
      </c>
      <c r="C201" s="13" t="s">
        <v>515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 t="str">
        <f t="shared" si="3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516</v>
      </c>
      <c r="B202" s="15" t="s">
        <v>94</v>
      </c>
      <c r="C202" s="15" t="s">
        <v>517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3" t="str">
        <f t="shared" si="3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518</v>
      </c>
      <c r="B203" s="13" t="s">
        <v>71</v>
      </c>
      <c r="C203" s="13" t="s">
        <v>519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 t="str">
        <f t="shared" si="3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520</v>
      </c>
      <c r="B204" s="15" t="s">
        <v>74</v>
      </c>
      <c r="C204" s="15" t="s">
        <v>521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3" t="str">
        <f t="shared" si="3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522</v>
      </c>
      <c r="B205" s="13" t="s">
        <v>275</v>
      </c>
      <c r="C205" s="13" t="s">
        <v>523</v>
      </c>
      <c r="D205" s="13" t="s">
        <v>61</v>
      </c>
      <c r="E205" s="13" t="s">
        <v>156</v>
      </c>
      <c r="F205" s="13">
        <v>156</v>
      </c>
      <c r="G205" t="s">
        <v>1475</v>
      </c>
      <c r="H205" s="14">
        <v>45283</v>
      </c>
      <c r="I205" s="13"/>
      <c r="J205" s="13"/>
      <c r="K205" s="13" t="s">
        <v>1431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522</v>
      </c>
      <c r="B206" s="15" t="s">
        <v>133</v>
      </c>
      <c r="C206" s="15" t="s">
        <v>524</v>
      </c>
      <c r="D206" s="15" t="s">
        <v>155</v>
      </c>
      <c r="E206" s="15" t="s">
        <v>62</v>
      </c>
      <c r="F206" s="15"/>
      <c r="G206" s="15"/>
      <c r="H206" s="16"/>
      <c r="I206" s="15"/>
      <c r="J206" s="15"/>
      <c r="K206" s="13" t="s">
        <v>1432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525</v>
      </c>
      <c r="B207" s="13" t="s">
        <v>121</v>
      </c>
      <c r="C207" s="13" t="s">
        <v>526</v>
      </c>
      <c r="D207" s="13" t="s">
        <v>76</v>
      </c>
      <c r="E207" s="13" t="s">
        <v>156</v>
      </c>
      <c r="F207" s="13">
        <v>235</v>
      </c>
      <c r="G207" t="s">
        <v>1529</v>
      </c>
      <c r="H207" s="14">
        <v>45564</v>
      </c>
      <c r="I207" s="13"/>
      <c r="J207" s="13"/>
      <c r="K207" s="13" t="str">
        <f t="shared" si="3"/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527</v>
      </c>
      <c r="B208" s="15" t="s">
        <v>74</v>
      </c>
      <c r="C208" s="15" t="s">
        <v>528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3" t="str">
        <f t="shared" si="3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529</v>
      </c>
      <c r="B209" s="13" t="s">
        <v>74</v>
      </c>
      <c r="C209" s="13" t="s">
        <v>530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 t="str">
        <f t="shared" si="3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531</v>
      </c>
      <c r="B210" s="15" t="s">
        <v>187</v>
      </c>
      <c r="C210" s="15" t="s">
        <v>532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3" t="str">
        <f t="shared" si="3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533</v>
      </c>
      <c r="B211" s="13" t="s">
        <v>59</v>
      </c>
      <c r="C211" s="13" t="s">
        <v>534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 t="str">
        <f t="shared" si="3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535</v>
      </c>
      <c r="B212" s="15" t="s">
        <v>250</v>
      </c>
      <c r="C212" s="15" t="s">
        <v>536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3" t="str">
        <f t="shared" si="3"/>
        <v>https://en.wikipedia.org/wiki/Helmetta,_New_Jersey</v>
      </c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537</v>
      </c>
      <c r="AM212" s="15" t="s">
        <v>538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539</v>
      </c>
      <c r="B213" s="13" t="s">
        <v>109</v>
      </c>
      <c r="C213" s="13" t="s">
        <v>540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 t="str">
        <f t="shared" si="3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541</v>
      </c>
      <c r="B214" s="15" t="s">
        <v>68</v>
      </c>
      <c r="C214" s="15" t="s">
        <v>542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3" t="str">
        <f t="shared" si="3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543</v>
      </c>
      <c r="B215" s="13" t="s">
        <v>250</v>
      </c>
      <c r="C215" s="13" t="s">
        <v>544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 t="str">
        <f t="shared" si="3"/>
        <v>https://en.wikipedia.org/wiki/Highland_Park,_New_Jersey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545</v>
      </c>
      <c r="AM215" s="13" t="s">
        <v>546</v>
      </c>
      <c r="AN215" s="13"/>
      <c r="AO215" s="13"/>
      <c r="AP215" s="13" t="s">
        <v>547</v>
      </c>
      <c r="AQ215" s="13" t="s">
        <v>548</v>
      </c>
      <c r="AR215" s="13"/>
      <c r="AS215" s="13"/>
      <c r="AT215" s="13"/>
      <c r="AU215" s="13"/>
    </row>
    <row r="216" spans="1:47" ht="16" customHeight="1" x14ac:dyDescent="0.2">
      <c r="A216" s="15" t="s">
        <v>549</v>
      </c>
      <c r="B216" s="15" t="s">
        <v>59</v>
      </c>
      <c r="C216" s="15" t="s">
        <v>550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3" t="str">
        <f t="shared" si="3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551</v>
      </c>
      <c r="B217" s="13" t="s">
        <v>359</v>
      </c>
      <c r="C217" s="13" t="s">
        <v>552</v>
      </c>
      <c r="D217" s="13" t="s">
        <v>76</v>
      </c>
      <c r="E217" s="13" t="s">
        <v>62</v>
      </c>
      <c r="F217" s="13"/>
      <c r="G217" s="13"/>
      <c r="H217" s="14"/>
      <c r="I217" s="13"/>
      <c r="J217" s="13"/>
      <c r="K217" s="13" t="str">
        <f t="shared" si="3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553</v>
      </c>
      <c r="B218" s="15" t="s">
        <v>144</v>
      </c>
      <c r="C218" s="15" t="s">
        <v>554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3" t="str">
        <f t="shared" si="3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555</v>
      </c>
      <c r="B219" s="13" t="s">
        <v>74</v>
      </c>
      <c r="C219" s="13" t="s">
        <v>556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 t="str">
        <f t="shared" si="3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557</v>
      </c>
      <c r="B220" s="15" t="s">
        <v>163</v>
      </c>
      <c r="C220" s="15" t="s">
        <v>558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3" t="str">
        <f t="shared" si="3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559</v>
      </c>
      <c r="B221" s="13" t="s">
        <v>74</v>
      </c>
      <c r="C221" s="13" t="s">
        <v>560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 t="str">
        <f t="shared" si="3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561</v>
      </c>
      <c r="B222" s="15" t="s">
        <v>133</v>
      </c>
      <c r="C222" s="15" t="s">
        <v>562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3" t="str">
        <f t="shared" si="3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563</v>
      </c>
      <c r="B223" s="13" t="s">
        <v>68</v>
      </c>
      <c r="C223" s="13" t="s">
        <v>564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 t="str">
        <f t="shared" si="3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565</v>
      </c>
      <c r="B224" s="15" t="s">
        <v>59</v>
      </c>
      <c r="C224" s="15" t="s">
        <v>566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3" t="str">
        <f t="shared" si="3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567</v>
      </c>
      <c r="B225" s="13" t="s">
        <v>94</v>
      </c>
      <c r="C225" s="13" t="s">
        <v>568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 t="str">
        <f t="shared" si="3"/>
        <v>https://en.wikipedia.org/wiki/Hopatcong,_New_Jersey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569</v>
      </c>
      <c r="AM225" s="13" t="s">
        <v>570</v>
      </c>
      <c r="AN225" s="13"/>
      <c r="AO225" s="13"/>
      <c r="AP225" s="13" t="s">
        <v>571</v>
      </c>
      <c r="AQ225" s="13" t="s">
        <v>572</v>
      </c>
      <c r="AR225" s="13"/>
      <c r="AS225" s="13"/>
      <c r="AT225" s="13"/>
      <c r="AU225" s="13"/>
    </row>
    <row r="226" spans="1:47" ht="16" customHeight="1" x14ac:dyDescent="0.2">
      <c r="A226" s="15" t="s">
        <v>573</v>
      </c>
      <c r="B226" s="15" t="s">
        <v>71</v>
      </c>
      <c r="C226" s="15" t="s">
        <v>574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3" t="str">
        <f t="shared" si="3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575</v>
      </c>
      <c r="B227" s="13" t="s">
        <v>213</v>
      </c>
      <c r="C227" s="13" t="s">
        <v>576</v>
      </c>
      <c r="D227" s="13" t="s">
        <v>61</v>
      </c>
      <c r="E227" s="13" t="s">
        <v>156</v>
      </c>
      <c r="F227" s="13">
        <v>198</v>
      </c>
      <c r="G227" t="s">
        <v>1464</v>
      </c>
      <c r="H227" s="14">
        <v>45444</v>
      </c>
      <c r="I227" s="13"/>
      <c r="J227" s="13"/>
      <c r="K227" s="13" t="s">
        <v>1433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575</v>
      </c>
      <c r="B228" s="15" t="s">
        <v>359</v>
      </c>
      <c r="C228" s="15" t="s">
        <v>577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3" t="s">
        <v>1434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575</v>
      </c>
      <c r="B229" s="13" t="s">
        <v>359</v>
      </c>
      <c r="C229" s="13" t="s">
        <v>578</v>
      </c>
      <c r="D229" s="13" t="s">
        <v>61</v>
      </c>
      <c r="E229" s="13" t="s">
        <v>62</v>
      </c>
      <c r="F229" s="13"/>
      <c r="G229" s="13"/>
      <c r="H229" s="14"/>
      <c r="I229" s="13"/>
      <c r="J229" s="13"/>
      <c r="K229" s="13" t="s">
        <v>1435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579</v>
      </c>
      <c r="B230" s="15" t="s">
        <v>59</v>
      </c>
      <c r="C230" s="15" t="s">
        <v>580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3" t="str">
        <f t="shared" si="3"/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581</v>
      </c>
      <c r="B231" s="13" t="s">
        <v>71</v>
      </c>
      <c r="C231" s="13" t="s">
        <v>582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 t="str">
        <f t="shared" si="3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583</v>
      </c>
      <c r="B232" s="15" t="s">
        <v>59</v>
      </c>
      <c r="C232" s="15" t="s">
        <v>584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3" t="str">
        <f t="shared" si="3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585</v>
      </c>
      <c r="B233" s="13" t="s">
        <v>147</v>
      </c>
      <c r="C233" s="13" t="s">
        <v>586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 t="str">
        <f t="shared" si="3"/>
        <v>https://en.wikipedia.org/wiki/Irvington_Township,_New_Jersey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587</v>
      </c>
      <c r="AM233" s="13" t="s">
        <v>588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589</v>
      </c>
      <c r="B234" s="15" t="s">
        <v>121</v>
      </c>
      <c r="C234" s="15" t="s">
        <v>590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3" t="str">
        <f t="shared" si="3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591</v>
      </c>
      <c r="B235" s="13" t="s">
        <v>121</v>
      </c>
      <c r="C235" s="13" t="s">
        <v>592</v>
      </c>
      <c r="D235" s="13" t="s">
        <v>61</v>
      </c>
      <c r="E235" s="13" t="s">
        <v>101</v>
      </c>
      <c r="F235" s="13"/>
      <c r="G235" t="s">
        <v>1530</v>
      </c>
      <c r="H235" s="14">
        <v>42666</v>
      </c>
      <c r="I235" s="13"/>
      <c r="J235" s="13"/>
      <c r="K235" s="13" t="str">
        <f t="shared" si="3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593</v>
      </c>
      <c r="B236" s="15" t="s">
        <v>250</v>
      </c>
      <c r="C236" s="15" t="s">
        <v>594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3" t="str">
        <f t="shared" si="3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595</v>
      </c>
      <c r="B237" s="13" t="s">
        <v>194</v>
      </c>
      <c r="C237" s="13" t="s">
        <v>596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 t="str">
        <f t="shared" si="3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597</v>
      </c>
      <c r="B238" s="15" t="s">
        <v>133</v>
      </c>
      <c r="C238" s="15" t="s">
        <v>598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3" t="str">
        <f t="shared" si="3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599</v>
      </c>
      <c r="B239" s="13" t="s">
        <v>59</v>
      </c>
      <c r="C239" s="13" t="s">
        <v>600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 t="str">
        <f t="shared" si="3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601</v>
      </c>
      <c r="B240" s="15" t="s">
        <v>133</v>
      </c>
      <c r="C240" s="15" t="s">
        <v>602</v>
      </c>
      <c r="D240" s="15" t="s">
        <v>155</v>
      </c>
      <c r="E240" s="15" t="s">
        <v>62</v>
      </c>
      <c r="F240" s="15"/>
      <c r="G240" s="15"/>
      <c r="H240" s="16"/>
      <c r="I240" s="15"/>
      <c r="J240" s="15"/>
      <c r="K240" s="13" t="str">
        <f t="shared" si="3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603</v>
      </c>
      <c r="B241" s="13" t="s">
        <v>163</v>
      </c>
      <c r="C241" s="13" t="s">
        <v>604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 t="str">
        <f t="shared" si="3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605</v>
      </c>
      <c r="B242" s="15" t="s">
        <v>59</v>
      </c>
      <c r="C242" s="15" t="s">
        <v>606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3" t="str">
        <f t="shared" si="3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607</v>
      </c>
      <c r="B243" s="13" t="s">
        <v>68</v>
      </c>
      <c r="C243" s="13" t="s">
        <v>608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 t="str">
        <f t="shared" si="3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609</v>
      </c>
      <c r="B244" s="15" t="s">
        <v>194</v>
      </c>
      <c r="C244" s="15" t="s">
        <v>610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3" t="str">
        <f t="shared" si="3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611</v>
      </c>
      <c r="B245" s="13" t="s">
        <v>71</v>
      </c>
      <c r="C245" s="13" t="s">
        <v>612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 t="str">
        <f t="shared" si="3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613</v>
      </c>
      <c r="B246" s="15" t="s">
        <v>121</v>
      </c>
      <c r="C246" s="15" t="s">
        <v>614</v>
      </c>
      <c r="D246" s="15" t="s">
        <v>61</v>
      </c>
      <c r="E246" s="15" t="s">
        <v>79</v>
      </c>
      <c r="F246" s="15">
        <v>107</v>
      </c>
      <c r="G246" t="s">
        <v>1531</v>
      </c>
      <c r="H246" s="16">
        <v>45160</v>
      </c>
      <c r="I246" s="15"/>
      <c r="J246" s="15"/>
      <c r="K246" s="13" t="str">
        <f t="shared" si="3"/>
        <v>https://en.wikipedia.org/wiki/Lacey_Township,_New_Jersey</v>
      </c>
      <c r="L246" s="15" t="s">
        <v>1555</v>
      </c>
      <c r="M246" s="15" t="s">
        <v>616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 t="s">
        <v>1555</v>
      </c>
      <c r="AG246" s="15" t="s">
        <v>1556</v>
      </c>
      <c r="AH246" s="15"/>
      <c r="AI246" s="15"/>
      <c r="AJ246" s="15"/>
      <c r="AK246" s="15"/>
      <c r="AL246" s="15" t="s">
        <v>615</v>
      </c>
      <c r="AM246" s="15" t="s">
        <v>616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617</v>
      </c>
      <c r="B247" s="13" t="s">
        <v>94</v>
      </c>
      <c r="C247" s="13" t="s">
        <v>618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 t="str">
        <f t="shared" si="3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619</v>
      </c>
      <c r="B248" s="15" t="s">
        <v>59</v>
      </c>
      <c r="C248" s="15" t="s">
        <v>620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3" t="str">
        <f t="shared" si="3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621</v>
      </c>
      <c r="B249" s="13" t="s">
        <v>121</v>
      </c>
      <c r="C249" s="13" t="s">
        <v>622</v>
      </c>
      <c r="D249" s="13" t="s">
        <v>76</v>
      </c>
      <c r="E249" s="13" t="s">
        <v>79</v>
      </c>
      <c r="F249" s="13">
        <v>112</v>
      </c>
      <c r="G249" t="s">
        <v>1532</v>
      </c>
      <c r="H249" s="14">
        <v>45173</v>
      </c>
      <c r="I249" s="13"/>
      <c r="J249" s="13"/>
      <c r="K249" s="13" t="str">
        <f t="shared" si="3"/>
        <v>https://en.wikipedia.org/wiki/Lakehurst,_New_Jersey</v>
      </c>
      <c r="L249" s="13" t="s">
        <v>1557</v>
      </c>
      <c r="M249" s="13" t="s">
        <v>624</v>
      </c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 t="s">
        <v>1557</v>
      </c>
      <c r="AG249" s="13" t="s">
        <v>1558</v>
      </c>
      <c r="AH249" s="13"/>
      <c r="AI249" s="13"/>
      <c r="AJ249" s="13"/>
      <c r="AK249" s="13"/>
      <c r="AL249" s="13" t="s">
        <v>623</v>
      </c>
      <c r="AM249" s="13" t="s">
        <v>624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625</v>
      </c>
      <c r="B250" s="15" t="s">
        <v>121</v>
      </c>
      <c r="C250" s="15" t="s">
        <v>626</v>
      </c>
      <c r="D250" s="15" t="s">
        <v>61</v>
      </c>
      <c r="E250" s="15" t="s">
        <v>156</v>
      </c>
      <c r="F250" s="15">
        <v>190</v>
      </c>
      <c r="G250" t="s">
        <v>1533</v>
      </c>
      <c r="H250" s="16">
        <v>45403</v>
      </c>
      <c r="I250" s="15"/>
      <c r="J250" s="15"/>
      <c r="K250" s="13" t="str">
        <f t="shared" si="3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627</v>
      </c>
      <c r="B251" s="13" t="s">
        <v>68</v>
      </c>
      <c r="C251" s="13" t="s">
        <v>628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 t="str">
        <f t="shared" si="3"/>
        <v>https://en.wikipedia.org/wiki/Lambertville,_New_Jersey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629</v>
      </c>
      <c r="AM251" s="13" t="s">
        <v>630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631</v>
      </c>
      <c r="B252" s="15" t="s">
        <v>109</v>
      </c>
      <c r="C252" s="15" t="s">
        <v>632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3" t="str">
        <f t="shared" si="3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633</v>
      </c>
      <c r="B253" s="13" t="s">
        <v>121</v>
      </c>
      <c r="C253" s="13" t="s">
        <v>634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 t="str">
        <f t="shared" si="3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635</v>
      </c>
      <c r="B254" s="15" t="s">
        <v>109</v>
      </c>
      <c r="C254" s="15" t="s">
        <v>636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3" t="str">
        <f t="shared" si="3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637</v>
      </c>
      <c r="B255" s="13" t="s">
        <v>213</v>
      </c>
      <c r="C255" s="13" t="s">
        <v>638</v>
      </c>
      <c r="D255" s="13" t="s">
        <v>61</v>
      </c>
      <c r="E255" s="13" t="s">
        <v>156</v>
      </c>
      <c r="F255" s="13">
        <v>199</v>
      </c>
      <c r="G255" t="s">
        <v>1465</v>
      </c>
      <c r="H255" s="14">
        <v>45444</v>
      </c>
      <c r="I255" s="13"/>
      <c r="J255" s="13"/>
      <c r="K255" s="13" t="s">
        <v>1436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637</v>
      </c>
      <c r="B256" s="15" t="s">
        <v>359</v>
      </c>
      <c r="C256" s="15" t="s">
        <v>639</v>
      </c>
      <c r="D256" s="15" t="s">
        <v>61</v>
      </c>
      <c r="E256" s="15" t="s">
        <v>62</v>
      </c>
      <c r="F256" s="15"/>
      <c r="G256" s="15"/>
      <c r="H256" s="16"/>
      <c r="I256" s="15"/>
      <c r="J256" s="15"/>
      <c r="K256" s="13" t="s">
        <v>1437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640</v>
      </c>
      <c r="B257" s="13" t="s">
        <v>68</v>
      </c>
      <c r="C257" s="13" t="s">
        <v>641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 t="str">
        <f t="shared" si="3"/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640</v>
      </c>
      <c r="B258" s="15" t="s">
        <v>68</v>
      </c>
      <c r="C258" s="15" t="s">
        <v>642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3" t="str">
        <f t="shared" si="3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643</v>
      </c>
      <c r="B259" s="13" t="s">
        <v>74</v>
      </c>
      <c r="C259" s="13" t="s">
        <v>644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 t="str">
        <f t="shared" si="3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645</v>
      </c>
      <c r="B260" s="15" t="s">
        <v>71</v>
      </c>
      <c r="C260" s="15" t="s">
        <v>646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3" t="str">
        <f t="shared" ref="K260:K323" si="4">IF(A260="","","https://en.wikipedia.org/wiki/"&amp;SUBSTITUTE(A260," ","_")&amp;IF(D260="township","_Township","")&amp;",_New_Jersey")</f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647</v>
      </c>
      <c r="B261" s="13" t="s">
        <v>194</v>
      </c>
      <c r="C261" s="13" t="s">
        <v>648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 t="str">
        <f t="shared" si="4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649</v>
      </c>
      <c r="B262" s="15" t="s">
        <v>163</v>
      </c>
      <c r="C262" s="15" t="s">
        <v>650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3" t="str">
        <f t="shared" si="4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651</v>
      </c>
      <c r="B263" s="13" t="s">
        <v>109</v>
      </c>
      <c r="C263" s="13" t="s">
        <v>652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 t="str">
        <f t="shared" si="4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653</v>
      </c>
      <c r="B264" s="15" t="s">
        <v>64</v>
      </c>
      <c r="C264" s="15" t="s">
        <v>654</v>
      </c>
      <c r="D264" s="15" t="s">
        <v>66</v>
      </c>
      <c r="E264" s="15" t="s">
        <v>156</v>
      </c>
      <c r="F264" s="15">
        <v>259</v>
      </c>
      <c r="G264" s="15" t="s">
        <v>655</v>
      </c>
      <c r="H264" s="16">
        <v>45660</v>
      </c>
      <c r="I264" s="15" t="s">
        <v>655</v>
      </c>
      <c r="J264" s="15" t="s">
        <v>656</v>
      </c>
      <c r="K264" s="13" t="str">
        <f t="shared" si="4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657</v>
      </c>
      <c r="B265" s="13" t="s">
        <v>121</v>
      </c>
      <c r="C265" s="13" t="s">
        <v>658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 t="str">
        <f t="shared" si="4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659</v>
      </c>
      <c r="B266" s="15" t="s">
        <v>187</v>
      </c>
      <c r="C266" s="15" t="s">
        <v>660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3" t="str">
        <f t="shared" si="4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661</v>
      </c>
      <c r="B267" s="13" t="s">
        <v>74</v>
      </c>
      <c r="C267" s="13" t="s">
        <v>662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 t="str">
        <f t="shared" si="4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663</v>
      </c>
      <c r="B268" s="15" t="s">
        <v>59</v>
      </c>
      <c r="C268" s="15" t="s">
        <v>664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3" t="str">
        <f t="shared" si="4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665</v>
      </c>
      <c r="B269" s="13" t="s">
        <v>147</v>
      </c>
      <c r="C269" s="13" t="s">
        <v>666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 t="str">
        <f t="shared" si="4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667</v>
      </c>
      <c r="B270" s="15" t="s">
        <v>59</v>
      </c>
      <c r="C270" s="15" t="s">
        <v>668</v>
      </c>
      <c r="D270" s="15" t="s">
        <v>669</v>
      </c>
      <c r="E270" s="15" t="s">
        <v>62</v>
      </c>
      <c r="F270" s="15"/>
      <c r="G270" s="15"/>
      <c r="H270" s="16"/>
      <c r="I270" s="15"/>
      <c r="J270" s="15"/>
      <c r="K270" s="13" t="str">
        <f t="shared" si="4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670</v>
      </c>
      <c r="B271" s="13" t="s">
        <v>74</v>
      </c>
      <c r="C271" s="13" t="s">
        <v>671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 t="str">
        <f t="shared" si="4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672</v>
      </c>
      <c r="B272" s="15" t="s">
        <v>275</v>
      </c>
      <c r="C272" s="15" t="s">
        <v>673</v>
      </c>
      <c r="D272" s="15" t="s">
        <v>61</v>
      </c>
      <c r="E272" s="15" t="s">
        <v>156</v>
      </c>
      <c r="F272" s="15">
        <v>188</v>
      </c>
      <c r="G272" t="s">
        <v>1476</v>
      </c>
      <c r="H272" s="16">
        <v>45396</v>
      </c>
      <c r="I272" s="15"/>
      <c r="J272" s="15"/>
      <c r="K272" s="13" t="str">
        <f t="shared" si="4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674</v>
      </c>
      <c r="B273" s="13" t="s">
        <v>121</v>
      </c>
      <c r="C273" s="13" t="s">
        <v>675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 t="str">
        <f t="shared" si="4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676</v>
      </c>
      <c r="B274" s="15" t="s">
        <v>59</v>
      </c>
      <c r="C274" s="15" t="s">
        <v>677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3" t="str">
        <f t="shared" si="4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678</v>
      </c>
      <c r="B275" s="13" t="s">
        <v>194</v>
      </c>
      <c r="C275" s="13" t="s">
        <v>679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 t="str">
        <f t="shared" si="4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680</v>
      </c>
      <c r="B276" s="15" t="s">
        <v>64</v>
      </c>
      <c r="C276" s="15" t="s">
        <v>681</v>
      </c>
      <c r="D276" s="15" t="s">
        <v>76</v>
      </c>
      <c r="E276" s="15" t="s">
        <v>156</v>
      </c>
      <c r="F276" s="15">
        <v>249</v>
      </c>
      <c r="G276" s="15" t="s">
        <v>682</v>
      </c>
      <c r="H276" s="16">
        <v>45619</v>
      </c>
      <c r="I276" s="15" t="s">
        <v>682</v>
      </c>
      <c r="J276" s="15" t="s">
        <v>683</v>
      </c>
      <c r="K276" s="13" t="str">
        <f t="shared" si="4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684</v>
      </c>
      <c r="B277" s="13" t="s">
        <v>71</v>
      </c>
      <c r="C277" s="13" t="s">
        <v>685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 t="str">
        <f t="shared" si="4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686</v>
      </c>
      <c r="B278" s="15" t="s">
        <v>114</v>
      </c>
      <c r="C278" s="15" t="s">
        <v>687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3" t="str">
        <f t="shared" si="4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688</v>
      </c>
      <c r="B279" s="13" t="s">
        <v>87</v>
      </c>
      <c r="C279" s="13" t="s">
        <v>689</v>
      </c>
      <c r="D279" s="13" t="s">
        <v>61</v>
      </c>
      <c r="E279" s="13" t="s">
        <v>156</v>
      </c>
      <c r="F279" s="13">
        <v>267</v>
      </c>
      <c r="G279" s="66" t="s">
        <v>1486</v>
      </c>
      <c r="H279" s="14">
        <v>45768</v>
      </c>
      <c r="I279" s="13"/>
      <c r="J279" s="13"/>
      <c r="K279" s="13" t="str">
        <f t="shared" si="4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690</v>
      </c>
      <c r="B280" s="15" t="s">
        <v>128</v>
      </c>
      <c r="C280" s="15" t="s">
        <v>691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3" t="str">
        <f t="shared" si="4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692</v>
      </c>
      <c r="B281" s="13" t="s">
        <v>74</v>
      </c>
      <c r="C281" s="13" t="s">
        <v>693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 t="str">
        <f t="shared" si="4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694</v>
      </c>
      <c r="B282" s="15" t="s">
        <v>194</v>
      </c>
      <c r="C282" s="15" t="s">
        <v>695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3" t="str">
        <f t="shared" si="4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696</v>
      </c>
      <c r="B283" s="13" t="s">
        <v>109</v>
      </c>
      <c r="C283" s="13" t="s">
        <v>697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 t="str">
        <f t="shared" si="4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698</v>
      </c>
      <c r="B284" s="15" t="s">
        <v>74</v>
      </c>
      <c r="C284" s="15" t="s">
        <v>699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3" t="str">
        <f t="shared" si="4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700</v>
      </c>
      <c r="B285" s="13" t="s">
        <v>59</v>
      </c>
      <c r="C285" s="13" t="s">
        <v>701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 t="str">
        <f t="shared" si="4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702</v>
      </c>
      <c r="B286" s="15" t="s">
        <v>59</v>
      </c>
      <c r="C286" s="15" t="s">
        <v>703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3" t="str">
        <f t="shared" si="4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704</v>
      </c>
      <c r="B287" s="13" t="s">
        <v>121</v>
      </c>
      <c r="C287" s="13" t="s">
        <v>705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 t="str">
        <f t="shared" si="4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706</v>
      </c>
      <c r="B288" s="15" t="s">
        <v>87</v>
      </c>
      <c r="C288" s="15" t="s">
        <v>707</v>
      </c>
      <c r="D288" s="15" t="s">
        <v>61</v>
      </c>
      <c r="E288" s="15" t="s">
        <v>156</v>
      </c>
      <c r="F288" s="15">
        <v>266</v>
      </c>
      <c r="G288" t="s">
        <v>1487</v>
      </c>
      <c r="H288" s="16">
        <v>45768</v>
      </c>
      <c r="I288" s="15"/>
      <c r="J288" s="15"/>
      <c r="K288" s="13" t="str">
        <f t="shared" si="4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708</v>
      </c>
      <c r="B289" s="13" t="s">
        <v>128</v>
      </c>
      <c r="C289" s="13" t="s">
        <v>709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 t="s">
        <v>1438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708</v>
      </c>
      <c r="B290" s="15" t="s">
        <v>71</v>
      </c>
      <c r="C290" s="15" t="s">
        <v>710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3" t="s">
        <v>1439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711</v>
      </c>
      <c r="B291" s="13" t="s">
        <v>121</v>
      </c>
      <c r="C291" s="13" t="s">
        <v>712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 t="str">
        <f t="shared" si="4"/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713</v>
      </c>
      <c r="B292" s="15" t="s">
        <v>275</v>
      </c>
      <c r="C292" s="15" t="s">
        <v>714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3" t="str">
        <f t="shared" si="4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715</v>
      </c>
      <c r="B293" s="13" t="s">
        <v>144</v>
      </c>
      <c r="C293" s="13" t="s">
        <v>716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 t="str">
        <f t="shared" si="4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717</v>
      </c>
      <c r="B294" s="15" t="s">
        <v>128</v>
      </c>
      <c r="C294" s="15" t="s">
        <v>718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3" t="str">
        <f t="shared" si="4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719</v>
      </c>
      <c r="B295" s="13" t="s">
        <v>147</v>
      </c>
      <c r="C295" s="13" t="s">
        <v>720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 t="str">
        <f t="shared" si="4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721</v>
      </c>
      <c r="B296" s="15" t="s">
        <v>64</v>
      </c>
      <c r="C296" s="15" t="s">
        <v>722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3" t="str">
        <f t="shared" si="4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723</v>
      </c>
      <c r="B297" s="13" t="s">
        <v>59</v>
      </c>
      <c r="C297" s="13" t="s">
        <v>724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 t="str">
        <f t="shared" si="4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725</v>
      </c>
      <c r="B298" s="15" t="s">
        <v>59</v>
      </c>
      <c r="C298" s="15" t="s">
        <v>726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3" t="str">
        <f t="shared" si="4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727</v>
      </c>
      <c r="B299" s="13" t="s">
        <v>213</v>
      </c>
      <c r="C299" s="13" t="s">
        <v>728</v>
      </c>
      <c r="D299" s="13" t="s">
        <v>61</v>
      </c>
      <c r="E299" s="13" t="s">
        <v>156</v>
      </c>
      <c r="F299" s="13">
        <v>170</v>
      </c>
      <c r="G299" t="s">
        <v>1466</v>
      </c>
      <c r="H299" s="14">
        <v>45318</v>
      </c>
      <c r="I299" s="13"/>
      <c r="J299" s="13"/>
      <c r="K299" s="13" t="str">
        <f t="shared" si="4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729</v>
      </c>
      <c r="B300" s="15" t="s">
        <v>74</v>
      </c>
      <c r="C300" s="15" t="s">
        <v>730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3" t="str">
        <f t="shared" si="4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731</v>
      </c>
      <c r="B301" s="13" t="s">
        <v>128</v>
      </c>
      <c r="C301" s="13" t="s">
        <v>732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 t="str">
        <f t="shared" si="4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733</v>
      </c>
      <c r="B302" s="15" t="s">
        <v>128</v>
      </c>
      <c r="C302" s="15" t="s">
        <v>734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3" t="str">
        <f t="shared" si="4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735</v>
      </c>
      <c r="B303" s="13" t="s">
        <v>194</v>
      </c>
      <c r="C303" s="13" t="s">
        <v>736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 t="str">
        <f t="shared" si="4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735</v>
      </c>
      <c r="B304" s="15" t="s">
        <v>194</v>
      </c>
      <c r="C304" s="15" t="s">
        <v>737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3" t="str">
        <f t="shared" si="4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738</v>
      </c>
      <c r="B305" s="13" t="s">
        <v>109</v>
      </c>
      <c r="C305" s="13" t="s">
        <v>739</v>
      </c>
      <c r="D305" s="13" t="s">
        <v>76</v>
      </c>
      <c r="E305" s="13" t="s">
        <v>156</v>
      </c>
      <c r="F305" s="13">
        <v>284</v>
      </c>
      <c r="G305" s="13"/>
      <c r="H305" s="14">
        <v>46087</v>
      </c>
      <c r="I305" s="13"/>
      <c r="J305" s="13"/>
      <c r="K305" s="13" t="str">
        <f t="shared" si="4"/>
        <v>https://en.wikipedia.org/wiki/Merchantville,_New_Jersey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740</v>
      </c>
      <c r="AM305" s="13" t="s">
        <v>741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742</v>
      </c>
      <c r="B306" s="15" t="s">
        <v>250</v>
      </c>
      <c r="C306" s="15" t="s">
        <v>743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3" t="str">
        <f t="shared" si="4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744</v>
      </c>
      <c r="B307" s="13" t="s">
        <v>114</v>
      </c>
      <c r="C307" s="13" t="s">
        <v>745</v>
      </c>
      <c r="D307" s="13" t="s">
        <v>61</v>
      </c>
      <c r="E307" s="13" t="s">
        <v>156</v>
      </c>
      <c r="F307" s="13"/>
      <c r="G307" s="13" t="s">
        <v>1407</v>
      </c>
      <c r="H307" s="14">
        <v>45619</v>
      </c>
      <c r="I307" s="13" t="s">
        <v>1407</v>
      </c>
      <c r="J307" s="13" t="s">
        <v>1413</v>
      </c>
      <c r="K307" s="13" t="str">
        <f t="shared" si="4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250</v>
      </c>
      <c r="B308" s="15" t="s">
        <v>250</v>
      </c>
      <c r="C308" s="15" t="s">
        <v>746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3" t="str">
        <f t="shared" si="4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747</v>
      </c>
      <c r="B309" s="13" t="s">
        <v>59</v>
      </c>
      <c r="C309" s="13" t="s">
        <v>748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 t="str">
        <f t="shared" si="4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749</v>
      </c>
      <c r="B310" s="15" t="s">
        <v>74</v>
      </c>
      <c r="C310" s="15" t="s">
        <v>750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3" t="str">
        <f t="shared" si="4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751</v>
      </c>
      <c r="B311" s="13" t="s">
        <v>68</v>
      </c>
      <c r="C311" s="13" t="s">
        <v>752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 t="str">
        <f t="shared" si="4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753</v>
      </c>
      <c r="B312" s="15" t="s">
        <v>147</v>
      </c>
      <c r="C312" s="15" t="s">
        <v>754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3" t="str">
        <f t="shared" si="4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755</v>
      </c>
      <c r="B313" s="13" t="s">
        <v>59</v>
      </c>
      <c r="C313" s="13" t="s">
        <v>756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 t="s">
        <v>1440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755</v>
      </c>
      <c r="B314" s="15" t="s">
        <v>144</v>
      </c>
      <c r="C314" s="15" t="s">
        <v>757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3" t="s">
        <v>1441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758</v>
      </c>
      <c r="B315" s="13" t="s">
        <v>250</v>
      </c>
      <c r="C315" s="13" t="s">
        <v>759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 t="str">
        <f t="shared" si="4"/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760</v>
      </c>
      <c r="B316" s="15" t="s">
        <v>213</v>
      </c>
      <c r="C316" s="15" t="s">
        <v>761</v>
      </c>
      <c r="D316" s="15" t="s">
        <v>66</v>
      </c>
      <c r="E316" s="15" t="s">
        <v>156</v>
      </c>
      <c r="F316" s="15">
        <v>172</v>
      </c>
      <c r="G316" t="s">
        <v>1467</v>
      </c>
      <c r="H316" s="16">
        <v>45318</v>
      </c>
      <c r="I316" s="15"/>
      <c r="J316" s="15"/>
      <c r="K316" s="13" t="str">
        <f t="shared" si="4"/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762</v>
      </c>
      <c r="B317" s="13" t="s">
        <v>194</v>
      </c>
      <c r="C317" s="13" t="s">
        <v>763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 t="str">
        <f t="shared" si="4"/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764</v>
      </c>
      <c r="B318" s="15" t="s">
        <v>59</v>
      </c>
      <c r="C318" s="15" t="s">
        <v>765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3" t="str">
        <f t="shared" si="4"/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766</v>
      </c>
      <c r="B319" s="13" t="s">
        <v>275</v>
      </c>
      <c r="C319" s="13" t="s">
        <v>767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 t="s">
        <v>1442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766</v>
      </c>
      <c r="B320" s="15" t="s">
        <v>250</v>
      </c>
      <c r="C320" s="15" t="s">
        <v>768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3" t="s">
        <v>1443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769</v>
      </c>
      <c r="B321" s="13" t="s">
        <v>94</v>
      </c>
      <c r="C321" s="13" t="s">
        <v>770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 t="str">
        <f t="shared" si="4"/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771</v>
      </c>
      <c r="B322" s="15" t="s">
        <v>147</v>
      </c>
      <c r="C322" s="15" t="s">
        <v>772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3" t="str">
        <f t="shared" si="4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773</v>
      </c>
      <c r="B323" s="13" t="s">
        <v>144</v>
      </c>
      <c r="C323" s="13" t="s">
        <v>774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 t="str">
        <f t="shared" si="4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775</v>
      </c>
      <c r="B324" s="15" t="s">
        <v>74</v>
      </c>
      <c r="C324" s="15" t="s">
        <v>776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3" t="str">
        <f t="shared" ref="K324:K387" si="5">IF(A324="","","https://en.wikipedia.org/wiki/"&amp;SUBSTITUTE(A324," ","_")&amp;IF(D324="township","_Township","")&amp;",_New_Jersey")</f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777</v>
      </c>
      <c r="B325" s="13" t="s">
        <v>194</v>
      </c>
      <c r="C325" s="13" t="s">
        <v>778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 t="str">
        <f t="shared" si="5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779</v>
      </c>
      <c r="B326" s="15" t="s">
        <v>74</v>
      </c>
      <c r="C326" s="15" t="s">
        <v>780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3" t="str">
        <f t="shared" si="5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781</v>
      </c>
      <c r="B327" s="13" t="s">
        <v>128</v>
      </c>
      <c r="C327" s="13" t="s">
        <v>782</v>
      </c>
      <c r="D327" s="13" t="s">
        <v>61</v>
      </c>
      <c r="E327" s="13" t="s">
        <v>101</v>
      </c>
      <c r="F327" s="13"/>
      <c r="G327" t="s">
        <v>1502</v>
      </c>
      <c r="H327" s="14">
        <v>44592</v>
      </c>
      <c r="I327" s="13"/>
      <c r="J327" s="13"/>
      <c r="K327" s="13" t="str">
        <f t="shared" si="5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194</v>
      </c>
      <c r="B328" s="15" t="s">
        <v>194</v>
      </c>
      <c r="C328" s="15" t="s">
        <v>783</v>
      </c>
      <c r="D328" s="15" t="s">
        <v>61</v>
      </c>
      <c r="E328" s="15" t="s">
        <v>62</v>
      </c>
      <c r="F328" s="15"/>
      <c r="G328" t="s">
        <v>1503</v>
      </c>
      <c r="H328" s="16"/>
      <c r="I328" s="15"/>
      <c r="J328" s="15"/>
      <c r="K328" s="13" t="str">
        <f t="shared" si="5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784</v>
      </c>
      <c r="B329" s="13" t="s">
        <v>194</v>
      </c>
      <c r="C329" s="13" t="s">
        <v>785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 t="str">
        <f t="shared" si="5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786</v>
      </c>
      <c r="B330" s="15" t="s">
        <v>194</v>
      </c>
      <c r="C330" s="15" t="s">
        <v>787</v>
      </c>
      <c r="D330" s="15" t="s">
        <v>155</v>
      </c>
      <c r="E330" s="15" t="s">
        <v>62</v>
      </c>
      <c r="F330" s="15"/>
      <c r="G330" s="15"/>
      <c r="H330" s="16"/>
      <c r="I330" s="15"/>
      <c r="J330" s="15"/>
      <c r="K330" s="13" t="str">
        <f t="shared" si="5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788</v>
      </c>
      <c r="B331" s="13" t="s">
        <v>194</v>
      </c>
      <c r="C331" s="13" t="s">
        <v>789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 t="str">
        <f t="shared" si="5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790</v>
      </c>
      <c r="B332" s="15" t="s">
        <v>109</v>
      </c>
      <c r="C332" s="15" t="s">
        <v>791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3" t="str">
        <f t="shared" si="5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792</v>
      </c>
      <c r="B333" s="13" t="s">
        <v>128</v>
      </c>
      <c r="C333" s="13" t="s">
        <v>793</v>
      </c>
      <c r="D333" s="13" t="s">
        <v>61</v>
      </c>
      <c r="E333" s="13" t="s">
        <v>79</v>
      </c>
      <c r="F333" s="13">
        <v>114</v>
      </c>
      <c r="G333" t="s">
        <v>1503</v>
      </c>
      <c r="H333" s="14">
        <v>45178</v>
      </c>
      <c r="I333" s="13"/>
      <c r="J333" s="13"/>
      <c r="K333" s="13" t="str">
        <f t="shared" si="5"/>
        <v>https://en.wikipedia.org/wiki/Mount_Holly_Township,_New_Jersey</v>
      </c>
      <c r="L333" s="13" t="s">
        <v>1515</v>
      </c>
      <c r="M333" s="13" t="s">
        <v>795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1515</v>
      </c>
      <c r="AG333" s="13" t="s">
        <v>1516</v>
      </c>
      <c r="AH333" s="13"/>
      <c r="AI333" s="13"/>
      <c r="AJ333" s="13"/>
      <c r="AK333" s="13"/>
      <c r="AL333" s="13" t="s">
        <v>794</v>
      </c>
      <c r="AM333" s="13" t="s">
        <v>795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796</v>
      </c>
      <c r="B334" s="15" t="s">
        <v>128</v>
      </c>
      <c r="C334" s="15" t="s">
        <v>797</v>
      </c>
      <c r="D334" s="15" t="s">
        <v>61</v>
      </c>
      <c r="E334" s="15" t="s">
        <v>79</v>
      </c>
      <c r="F334" s="15">
        <v>116</v>
      </c>
      <c r="G334" t="s">
        <v>1504</v>
      </c>
      <c r="H334" s="16">
        <v>45178</v>
      </c>
      <c r="I334" s="15"/>
      <c r="J334" s="15"/>
      <c r="K334" s="13" t="str">
        <f t="shared" si="5"/>
        <v>https://en.wikipedia.org/wiki/Mount_Laurel_Township,_New_Jersey</v>
      </c>
      <c r="L334" s="15" t="s">
        <v>1517</v>
      </c>
      <c r="M334" s="15" t="s">
        <v>799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1517</v>
      </c>
      <c r="AG334" s="15" t="s">
        <v>1518</v>
      </c>
      <c r="AH334" s="15"/>
      <c r="AI334" s="15"/>
      <c r="AJ334" s="15"/>
      <c r="AK334" s="15"/>
      <c r="AL334" s="15" t="s">
        <v>798</v>
      </c>
      <c r="AM334" s="15" t="s">
        <v>799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800</v>
      </c>
      <c r="B335" s="13" t="s">
        <v>194</v>
      </c>
      <c r="C335" s="13" t="s">
        <v>801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 t="str">
        <f t="shared" si="5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802</v>
      </c>
      <c r="B336" s="15" t="s">
        <v>194</v>
      </c>
      <c r="C336" s="15" t="s">
        <v>803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3" t="str">
        <f t="shared" si="5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804</v>
      </c>
      <c r="B337" s="13" t="s">
        <v>163</v>
      </c>
      <c r="C337" s="13" t="s">
        <v>805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 t="str">
        <f t="shared" si="5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806</v>
      </c>
      <c r="B338" s="15" t="s">
        <v>64</v>
      </c>
      <c r="C338" s="15" t="s">
        <v>807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3" t="str">
        <f t="shared" si="5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808</v>
      </c>
      <c r="B339" s="13" t="s">
        <v>275</v>
      </c>
      <c r="C339" s="13" t="s">
        <v>809</v>
      </c>
      <c r="D339" s="13" t="s">
        <v>76</v>
      </c>
      <c r="E339" s="13" t="s">
        <v>156</v>
      </c>
      <c r="F339" s="13">
        <v>212</v>
      </c>
      <c r="G339" t="s">
        <v>1477</v>
      </c>
      <c r="H339" s="14">
        <v>45480</v>
      </c>
      <c r="I339" s="13"/>
      <c r="J339" s="13"/>
      <c r="K339" s="13" t="str">
        <f t="shared" si="5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810</v>
      </c>
      <c r="B340" s="15" t="s">
        <v>59</v>
      </c>
      <c r="C340" s="15" t="s">
        <v>811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3" t="str">
        <f t="shared" si="5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812</v>
      </c>
      <c r="B341" s="13" t="s">
        <v>59</v>
      </c>
      <c r="C341" s="13" t="s">
        <v>813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 t="str">
        <f t="shared" si="5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814</v>
      </c>
      <c r="B342" s="15" t="s">
        <v>194</v>
      </c>
      <c r="C342" s="15" t="s">
        <v>815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3" t="str">
        <f t="shared" si="5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816</v>
      </c>
      <c r="B343" s="13" t="s">
        <v>250</v>
      </c>
      <c r="C343" s="13" t="s">
        <v>817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 t="str">
        <f t="shared" si="5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818</v>
      </c>
      <c r="B344" s="15" t="s">
        <v>128</v>
      </c>
      <c r="C344" s="15" t="s">
        <v>819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3" t="str">
        <f t="shared" si="5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820</v>
      </c>
      <c r="B345" s="13" t="s">
        <v>74</v>
      </c>
      <c r="C345" s="13" t="s">
        <v>821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 t="str">
        <f t="shared" si="5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822</v>
      </c>
      <c r="B346" s="15" t="s">
        <v>163</v>
      </c>
      <c r="C346" s="15" t="s">
        <v>823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3" t="str">
        <f t="shared" si="5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824</v>
      </c>
      <c r="B347" s="13" t="s">
        <v>147</v>
      </c>
      <c r="C347" s="13" t="s">
        <v>825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 t="str">
        <f t="shared" si="5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826</v>
      </c>
      <c r="B348" s="15" t="s">
        <v>275</v>
      </c>
      <c r="C348" s="15" t="s">
        <v>827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3" t="str">
        <f t="shared" si="5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828</v>
      </c>
      <c r="B349" s="13" t="s">
        <v>94</v>
      </c>
      <c r="C349" s="13" t="s">
        <v>829</v>
      </c>
      <c r="D349" s="13" t="s">
        <v>155</v>
      </c>
      <c r="E349" s="13" t="s">
        <v>62</v>
      </c>
      <c r="F349" s="13"/>
      <c r="G349" s="13"/>
      <c r="H349" s="14"/>
      <c r="I349" s="13"/>
      <c r="J349" s="13"/>
      <c r="K349" s="13" t="str">
        <f t="shared" si="5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830</v>
      </c>
      <c r="B350" s="15" t="s">
        <v>74</v>
      </c>
      <c r="C350" s="15" t="s">
        <v>831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3" t="str">
        <f t="shared" si="5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832</v>
      </c>
      <c r="B351" s="13" t="s">
        <v>133</v>
      </c>
      <c r="C351" s="13" t="s">
        <v>833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 t="str">
        <f t="shared" si="5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834</v>
      </c>
      <c r="B352" s="15" t="s">
        <v>250</v>
      </c>
      <c r="C352" s="15" t="s">
        <v>835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3" t="str">
        <f t="shared" si="5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836</v>
      </c>
      <c r="B353" s="13" t="s">
        <v>147</v>
      </c>
      <c r="C353" s="13" t="s">
        <v>837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 t="str">
        <f t="shared" si="5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838</v>
      </c>
      <c r="B354" s="15" t="s">
        <v>187</v>
      </c>
      <c r="C354" s="15" t="s">
        <v>839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3" t="str">
        <f t="shared" si="5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840</v>
      </c>
      <c r="B355" s="13" t="s">
        <v>128</v>
      </c>
      <c r="C355" s="13" t="s">
        <v>841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 t="str">
        <f t="shared" si="5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842</v>
      </c>
      <c r="B356" s="15" t="s">
        <v>144</v>
      </c>
      <c r="C356" s="15" t="s">
        <v>843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3" t="str">
        <f t="shared" si="5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844</v>
      </c>
      <c r="B357" s="13" t="s">
        <v>114</v>
      </c>
      <c r="C357" s="13" t="s">
        <v>845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 t="str">
        <f t="shared" si="5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846</v>
      </c>
      <c r="B358" s="15" t="s">
        <v>64</v>
      </c>
      <c r="C358" s="15" t="s">
        <v>847</v>
      </c>
      <c r="D358" s="15" t="s">
        <v>66</v>
      </c>
      <c r="E358" s="15" t="s">
        <v>101</v>
      </c>
      <c r="F358" s="15"/>
      <c r="G358" s="15" t="s">
        <v>848</v>
      </c>
      <c r="H358" s="16">
        <v>45619</v>
      </c>
      <c r="I358" s="15" t="s">
        <v>849</v>
      </c>
      <c r="J358" s="15" t="s">
        <v>850</v>
      </c>
      <c r="K358" s="13" t="str">
        <f t="shared" si="5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851</v>
      </c>
      <c r="B359" s="13" t="s">
        <v>74</v>
      </c>
      <c r="C359" s="13" t="s">
        <v>852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 t="str">
        <f t="shared" si="5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853</v>
      </c>
      <c r="B360" s="15" t="s">
        <v>74</v>
      </c>
      <c r="C360" s="15" t="s">
        <v>854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3" t="str">
        <f t="shared" si="5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855</v>
      </c>
      <c r="B361" s="13" t="s">
        <v>147</v>
      </c>
      <c r="C361" s="13" t="s">
        <v>856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 t="str">
        <f t="shared" si="5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857</v>
      </c>
      <c r="B362" s="15" t="s">
        <v>74</v>
      </c>
      <c r="C362" s="15" t="s">
        <v>858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3" t="str">
        <f t="shared" si="5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859</v>
      </c>
      <c r="B363" s="13" t="s">
        <v>109</v>
      </c>
      <c r="C363" s="13" t="s">
        <v>860</v>
      </c>
      <c r="D363" s="13" t="s">
        <v>76</v>
      </c>
      <c r="E363" s="13" t="s">
        <v>156</v>
      </c>
      <c r="F363" s="13">
        <v>271</v>
      </c>
      <c r="G363" s="13"/>
      <c r="H363" s="14">
        <v>45782</v>
      </c>
      <c r="I363" s="13"/>
      <c r="J363" s="13"/>
      <c r="K363" s="13" t="str">
        <f t="shared" si="5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121</v>
      </c>
      <c r="B364" s="15" t="s">
        <v>59</v>
      </c>
      <c r="C364" s="15" t="s">
        <v>861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3" t="s">
        <v>1444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121</v>
      </c>
      <c r="B365" s="13" t="s">
        <v>121</v>
      </c>
      <c r="C365" s="13" t="s">
        <v>862</v>
      </c>
      <c r="D365" s="13" t="s">
        <v>61</v>
      </c>
      <c r="E365" s="13" t="s">
        <v>156</v>
      </c>
      <c r="F365" s="13">
        <v>265</v>
      </c>
      <c r="G365" t="s">
        <v>1535</v>
      </c>
      <c r="H365" s="14">
        <v>45705</v>
      </c>
      <c r="I365" s="13"/>
      <c r="J365" s="13"/>
      <c r="K365" s="13" t="s">
        <v>1445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863</v>
      </c>
      <c r="B366" s="15" t="s">
        <v>114</v>
      </c>
      <c r="C366" s="15" t="s">
        <v>864</v>
      </c>
      <c r="D366" s="15" t="s">
        <v>66</v>
      </c>
      <c r="E366" s="15" t="s">
        <v>101</v>
      </c>
      <c r="F366" s="15"/>
      <c r="G366" s="15" t="s">
        <v>1408</v>
      </c>
      <c r="H366" s="16">
        <v>42946</v>
      </c>
      <c r="I366" s="15"/>
      <c r="J366" s="15"/>
      <c r="K366" s="13" t="str">
        <f t="shared" si="5"/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865</v>
      </c>
      <c r="B367" s="13" t="s">
        <v>121</v>
      </c>
      <c r="C367" s="13" t="s">
        <v>866</v>
      </c>
      <c r="D367" s="13" t="s">
        <v>76</v>
      </c>
      <c r="E367" s="13" t="s">
        <v>156</v>
      </c>
      <c r="F367" s="13">
        <v>182</v>
      </c>
      <c r="G367" t="s">
        <v>1534</v>
      </c>
      <c r="H367" s="14">
        <v>45359</v>
      </c>
      <c r="I367" s="13"/>
      <c r="J367" s="13"/>
      <c r="K367" s="13" t="str">
        <f t="shared" si="5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867</v>
      </c>
      <c r="B368" s="15" t="s">
        <v>59</v>
      </c>
      <c r="C368" s="15" t="s">
        <v>868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3" t="str">
        <f t="shared" si="5"/>
        <v>https://en.wikipedia.org/wiki/Oceanport,_New_Jersey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869</v>
      </c>
      <c r="AM368" s="15" t="s">
        <v>870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871</v>
      </c>
      <c r="B369" s="13" t="s">
        <v>94</v>
      </c>
      <c r="C369" s="13" t="s">
        <v>872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 t="str">
        <f t="shared" si="5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873</v>
      </c>
      <c r="B370" s="15" t="s">
        <v>250</v>
      </c>
      <c r="C370" s="15" t="s">
        <v>874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3" t="str">
        <f t="shared" si="5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875</v>
      </c>
      <c r="B371" s="13" t="s">
        <v>74</v>
      </c>
      <c r="C371" s="13" t="s">
        <v>876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 t="str">
        <f t="shared" si="5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877</v>
      </c>
      <c r="B372" s="15" t="s">
        <v>87</v>
      </c>
      <c r="C372" s="15" t="s">
        <v>878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3" t="str">
        <f t="shared" si="5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879</v>
      </c>
      <c r="B373" s="13" t="s">
        <v>74</v>
      </c>
      <c r="C373" s="13" t="s">
        <v>880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 t="str">
        <f t="shared" si="5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881</v>
      </c>
      <c r="B374" s="15" t="s">
        <v>71</v>
      </c>
      <c r="C374" s="15" t="s">
        <v>882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3" t="str">
        <f t="shared" si="5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883</v>
      </c>
      <c r="B375" s="13" t="s">
        <v>74</v>
      </c>
      <c r="C375" s="13" t="s">
        <v>884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 t="str">
        <f t="shared" si="5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885</v>
      </c>
      <c r="B376" s="15" t="s">
        <v>128</v>
      </c>
      <c r="C376" s="15" t="s">
        <v>886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3" t="str">
        <f t="shared" si="5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887</v>
      </c>
      <c r="B377" s="13" t="s">
        <v>74</v>
      </c>
      <c r="C377" s="13" t="s">
        <v>888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 t="str">
        <f t="shared" si="5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889</v>
      </c>
      <c r="B378" s="15" t="s">
        <v>74</v>
      </c>
      <c r="C378" s="15" t="s">
        <v>890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3" t="str">
        <f t="shared" si="5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891</v>
      </c>
      <c r="B379" s="13" t="s">
        <v>194</v>
      </c>
      <c r="C379" s="13" t="s">
        <v>892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 t="str">
        <f t="shared" si="5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187</v>
      </c>
      <c r="B380" s="15" t="s">
        <v>187</v>
      </c>
      <c r="C380" s="15" t="s">
        <v>893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3" t="str">
        <f t="shared" si="5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894</v>
      </c>
      <c r="B381" s="13" t="s">
        <v>187</v>
      </c>
      <c r="C381" s="13" t="s">
        <v>895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 t="str">
        <f t="shared" si="5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896</v>
      </c>
      <c r="B382" s="15" t="s">
        <v>275</v>
      </c>
      <c r="C382" s="15" t="s">
        <v>897</v>
      </c>
      <c r="D382" s="15" t="s">
        <v>76</v>
      </c>
      <c r="E382" s="15" t="s">
        <v>156</v>
      </c>
      <c r="F382" s="15">
        <v>189</v>
      </c>
      <c r="G382" t="s">
        <v>1478</v>
      </c>
      <c r="H382" s="16">
        <v>45396</v>
      </c>
      <c r="I382" s="15"/>
      <c r="J382" s="15"/>
      <c r="K382" s="13" t="str">
        <f t="shared" si="5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898</v>
      </c>
      <c r="B383" s="13" t="s">
        <v>144</v>
      </c>
      <c r="C383" s="13" t="s">
        <v>899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 t="str">
        <f t="shared" si="5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900</v>
      </c>
      <c r="B384" s="15" t="s">
        <v>128</v>
      </c>
      <c r="C384" s="15" t="s">
        <v>901</v>
      </c>
      <c r="D384" s="15" t="s">
        <v>76</v>
      </c>
      <c r="E384" s="15" t="s">
        <v>156</v>
      </c>
      <c r="F384" s="15">
        <v>144</v>
      </c>
      <c r="G384" t="s">
        <v>1505</v>
      </c>
      <c r="H384" s="16">
        <v>45254</v>
      </c>
      <c r="I384" s="15"/>
      <c r="J384" s="15"/>
      <c r="K384" s="13" t="str">
        <f t="shared" si="5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900</v>
      </c>
      <c r="B385" s="13" t="s">
        <v>128</v>
      </c>
      <c r="C385" s="13" t="s">
        <v>902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 t="str">
        <f t="shared" si="5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903</v>
      </c>
      <c r="B386" s="15" t="s">
        <v>359</v>
      </c>
      <c r="C386" s="15" t="s">
        <v>904</v>
      </c>
      <c r="D386" s="15" t="s">
        <v>76</v>
      </c>
      <c r="E386" s="15" t="s">
        <v>62</v>
      </c>
      <c r="F386" s="15"/>
      <c r="G386" s="15"/>
      <c r="H386" s="16"/>
      <c r="I386" s="15"/>
      <c r="J386" s="15"/>
      <c r="K386" s="13" t="str">
        <f t="shared" si="5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905</v>
      </c>
      <c r="B387" s="13" t="s">
        <v>87</v>
      </c>
      <c r="C387" s="13" t="s">
        <v>906</v>
      </c>
      <c r="D387" s="13" t="s">
        <v>76</v>
      </c>
      <c r="E387" s="13" t="s">
        <v>156</v>
      </c>
      <c r="F387" s="13">
        <v>210</v>
      </c>
      <c r="G387" t="s">
        <v>1488</v>
      </c>
      <c r="H387" s="14">
        <v>45478</v>
      </c>
      <c r="I387" s="13"/>
      <c r="J387" s="13"/>
      <c r="K387" s="13" t="str">
        <f t="shared" si="5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907</v>
      </c>
      <c r="B388" s="15" t="s">
        <v>109</v>
      </c>
      <c r="C388" s="15" t="s">
        <v>908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3" t="str">
        <f t="shared" ref="K388:K451" si="6">IF(A388="","","https://en.wikipedia.org/wiki/"&amp;SUBSTITUTE(A388," ","_")&amp;IF(D388="township","_Township","")&amp;",_New_Jersey")</f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909</v>
      </c>
      <c r="B389" s="13" t="s">
        <v>87</v>
      </c>
      <c r="C389" s="13" t="s">
        <v>910</v>
      </c>
      <c r="D389" s="13" t="s">
        <v>61</v>
      </c>
      <c r="E389" s="13" t="s">
        <v>156</v>
      </c>
      <c r="F389" s="13">
        <v>211</v>
      </c>
      <c r="G389" t="s">
        <v>1489</v>
      </c>
      <c r="H389" s="14">
        <v>45480</v>
      </c>
      <c r="I389" s="13"/>
      <c r="J389" s="13"/>
      <c r="K389" s="13" t="str">
        <f t="shared" si="6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911</v>
      </c>
      <c r="B390" s="15" t="s">
        <v>194</v>
      </c>
      <c r="C390" s="15" t="s">
        <v>912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3" t="str">
        <f t="shared" si="6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913</v>
      </c>
      <c r="B391" s="13" t="s">
        <v>250</v>
      </c>
      <c r="C391" s="13" t="s">
        <v>914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 t="str">
        <f t="shared" si="6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915</v>
      </c>
      <c r="B392" s="15" t="s">
        <v>71</v>
      </c>
      <c r="C392" s="15" t="s">
        <v>916</v>
      </c>
      <c r="D392" s="15" t="s">
        <v>155</v>
      </c>
      <c r="E392" s="15" t="s">
        <v>62</v>
      </c>
      <c r="F392" s="15"/>
      <c r="G392" s="15"/>
      <c r="H392" s="16"/>
      <c r="I392" s="15"/>
      <c r="J392" s="15"/>
      <c r="K392" s="13" t="str">
        <f t="shared" si="6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917</v>
      </c>
      <c r="B393" s="13" t="s">
        <v>87</v>
      </c>
      <c r="C393" s="13" t="s">
        <v>918</v>
      </c>
      <c r="D393" s="13" t="s">
        <v>61</v>
      </c>
      <c r="E393" s="13" t="s">
        <v>156</v>
      </c>
      <c r="F393" s="13">
        <v>220</v>
      </c>
      <c r="G393" t="s">
        <v>1490</v>
      </c>
      <c r="H393" s="14">
        <v>45521</v>
      </c>
      <c r="I393" s="13"/>
      <c r="J393" s="13"/>
      <c r="K393" s="13" t="str">
        <f t="shared" si="6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919</v>
      </c>
      <c r="B394" s="15" t="s">
        <v>121</v>
      </c>
      <c r="C394" s="15" t="s">
        <v>920</v>
      </c>
      <c r="D394" s="15" t="s">
        <v>76</v>
      </c>
      <c r="E394" s="15" t="s">
        <v>79</v>
      </c>
      <c r="F394" s="15">
        <v>125</v>
      </c>
      <c r="G394" t="s">
        <v>1536</v>
      </c>
      <c r="H394" s="16">
        <v>45214</v>
      </c>
      <c r="I394" s="15"/>
      <c r="J394" s="15"/>
      <c r="K394" s="13" t="str">
        <f t="shared" si="6"/>
        <v>https://en.wikipedia.org/wiki/Pine_Beach,_New_Jersey</v>
      </c>
      <c r="L394" s="15" t="s">
        <v>1550</v>
      </c>
      <c r="M394" s="15" t="s">
        <v>922</v>
      </c>
      <c r="N394" s="15" t="s">
        <v>1552</v>
      </c>
      <c r="O394" s="15" t="s">
        <v>1552</v>
      </c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 t="s">
        <v>1550</v>
      </c>
      <c r="AG394" s="15" t="s">
        <v>1551</v>
      </c>
      <c r="AH394" s="15" t="s">
        <v>1552</v>
      </c>
      <c r="AI394" s="15" t="s">
        <v>1553</v>
      </c>
      <c r="AJ394" s="15"/>
      <c r="AK394" s="15"/>
      <c r="AL394" s="15" t="s">
        <v>921</v>
      </c>
      <c r="AM394" s="15" t="s">
        <v>922</v>
      </c>
      <c r="AN394" s="15"/>
      <c r="AO394" s="15"/>
      <c r="AP394" s="15" t="s">
        <v>923</v>
      </c>
      <c r="AQ394" s="15" t="s">
        <v>924</v>
      </c>
      <c r="AR394" s="15"/>
      <c r="AS394" s="15"/>
      <c r="AT394" s="15"/>
      <c r="AU394" s="15"/>
    </row>
    <row r="395" spans="1:47" ht="16" customHeight="1" x14ac:dyDescent="0.2">
      <c r="A395" s="13" t="s">
        <v>925</v>
      </c>
      <c r="B395" s="13" t="s">
        <v>109</v>
      </c>
      <c r="C395" s="13" t="s">
        <v>926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 t="str">
        <f t="shared" si="6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927</v>
      </c>
      <c r="B396" s="15" t="s">
        <v>250</v>
      </c>
      <c r="C396" s="15" t="s">
        <v>928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3" t="str">
        <f t="shared" si="6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929</v>
      </c>
      <c r="B397" s="13" t="s">
        <v>275</v>
      </c>
      <c r="C397" s="13" t="s">
        <v>930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 t="str">
        <f t="shared" si="6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931</v>
      </c>
      <c r="B398" s="15" t="s">
        <v>87</v>
      </c>
      <c r="C398" s="15" t="s">
        <v>932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3" t="str">
        <f t="shared" si="6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933</v>
      </c>
      <c r="B399" s="13" t="s">
        <v>163</v>
      </c>
      <c r="C399" s="13" t="s">
        <v>934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 t="str">
        <f t="shared" si="6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935</v>
      </c>
      <c r="B400" s="15" t="s">
        <v>250</v>
      </c>
      <c r="C400" s="15" t="s">
        <v>936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3" t="str">
        <f t="shared" si="6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937</v>
      </c>
      <c r="B401" s="13" t="s">
        <v>64</v>
      </c>
      <c r="C401" s="13" t="s">
        <v>938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 t="str">
        <f t="shared" si="6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939</v>
      </c>
      <c r="B402" s="15" t="s">
        <v>121</v>
      </c>
      <c r="C402" s="15" t="s">
        <v>940</v>
      </c>
      <c r="D402" s="15" t="s">
        <v>61</v>
      </c>
      <c r="E402" s="15" t="s">
        <v>101</v>
      </c>
      <c r="F402" s="15"/>
      <c r="G402" t="s">
        <v>1537</v>
      </c>
      <c r="H402" s="16">
        <v>41938</v>
      </c>
      <c r="I402" s="15"/>
      <c r="J402" s="15"/>
      <c r="K402" s="13" t="str">
        <f t="shared" si="6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941</v>
      </c>
      <c r="B403" s="13" t="s">
        <v>71</v>
      </c>
      <c r="C403" s="13" t="s">
        <v>942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 t="str">
        <f t="shared" si="6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943</v>
      </c>
      <c r="B404" s="15" t="s">
        <v>121</v>
      </c>
      <c r="C404" s="15" t="s">
        <v>944</v>
      </c>
      <c r="D404" s="15" t="s">
        <v>76</v>
      </c>
      <c r="E404" s="15" t="s">
        <v>79</v>
      </c>
      <c r="F404" s="15">
        <v>101</v>
      </c>
      <c r="G404" t="s">
        <v>1538</v>
      </c>
      <c r="H404" s="16">
        <v>45150</v>
      </c>
      <c r="I404" s="15"/>
      <c r="J404" s="15"/>
      <c r="K404" s="13" t="str">
        <f t="shared" si="6"/>
        <v>https://en.wikipedia.org/wiki/Point_Pleasant,_New_Jersey</v>
      </c>
      <c r="L404" s="15" t="s">
        <v>1559</v>
      </c>
      <c r="M404" s="15" t="s">
        <v>946</v>
      </c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 t="s">
        <v>1559</v>
      </c>
      <c r="AG404" s="15" t="s">
        <v>1560</v>
      </c>
      <c r="AH404" s="15"/>
      <c r="AI404" s="15"/>
      <c r="AJ404" s="15"/>
      <c r="AK404" s="15"/>
      <c r="AL404" s="15" t="s">
        <v>945</v>
      </c>
      <c r="AM404" s="15" t="s">
        <v>946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947</v>
      </c>
      <c r="B405" s="13" t="s">
        <v>121</v>
      </c>
      <c r="C405" s="13" t="s">
        <v>948</v>
      </c>
      <c r="D405" s="13" t="s">
        <v>76</v>
      </c>
      <c r="E405" s="13" t="s">
        <v>101</v>
      </c>
      <c r="F405" s="13"/>
      <c r="G405" t="s">
        <v>1539</v>
      </c>
      <c r="H405" s="14">
        <v>43001</v>
      </c>
      <c r="I405" s="13"/>
      <c r="J405" s="13"/>
      <c r="K405" s="13" t="str">
        <f t="shared" si="6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949</v>
      </c>
      <c r="B406" s="15" t="s">
        <v>187</v>
      </c>
      <c r="C406" s="15" t="s">
        <v>950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3" t="str">
        <f t="shared" si="6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951</v>
      </c>
      <c r="B407" s="13" t="s">
        <v>64</v>
      </c>
      <c r="C407" s="13" t="s">
        <v>952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 t="str">
        <f t="shared" si="6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953</v>
      </c>
      <c r="B408" s="15" t="s">
        <v>359</v>
      </c>
      <c r="C408" s="15" t="s">
        <v>954</v>
      </c>
      <c r="D408" s="15"/>
      <c r="E408" s="15" t="s">
        <v>62</v>
      </c>
      <c r="F408" s="15"/>
      <c r="G408" s="15"/>
      <c r="H408" s="16"/>
      <c r="I408" s="15"/>
      <c r="J408" s="15"/>
      <c r="K408" s="13" t="str">
        <f t="shared" si="6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955</v>
      </c>
      <c r="B409" s="13" t="s">
        <v>187</v>
      </c>
      <c r="C409" s="13" t="s">
        <v>956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 t="str">
        <f t="shared" si="6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957</v>
      </c>
      <c r="B410" s="15" t="s">
        <v>87</v>
      </c>
      <c r="C410" s="15" t="s">
        <v>958</v>
      </c>
      <c r="D410" s="15" t="s">
        <v>61</v>
      </c>
      <c r="E410" s="15" t="s">
        <v>156</v>
      </c>
      <c r="F410" s="15">
        <v>183</v>
      </c>
      <c r="G410" t="s">
        <v>1491</v>
      </c>
      <c r="H410" s="16">
        <v>45388</v>
      </c>
      <c r="I410" s="15"/>
      <c r="J410" s="15"/>
      <c r="K410" s="13" t="str">
        <f t="shared" si="6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959</v>
      </c>
      <c r="B411" s="13" t="s">
        <v>163</v>
      </c>
      <c r="C411" s="13" t="s">
        <v>960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 t="str">
        <f t="shared" si="6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961</v>
      </c>
      <c r="B412" s="15" t="s">
        <v>74</v>
      </c>
      <c r="C412" s="15" t="s">
        <v>962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3" t="str">
        <f t="shared" si="6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963</v>
      </c>
      <c r="B413" s="13" t="s">
        <v>194</v>
      </c>
      <c r="C413" s="13" t="s">
        <v>964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 t="str">
        <f t="shared" si="6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965</v>
      </c>
      <c r="B414" s="15" t="s">
        <v>68</v>
      </c>
      <c r="C414" s="15" t="s">
        <v>966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3" t="s">
        <v>1446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967</v>
      </c>
      <c r="AM414" s="15" t="s">
        <v>968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965</v>
      </c>
      <c r="B415" s="13" t="s">
        <v>144</v>
      </c>
      <c r="C415" s="13" t="s">
        <v>969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 t="s">
        <v>1447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970</v>
      </c>
      <c r="B416" s="15" t="s">
        <v>68</v>
      </c>
      <c r="C416" s="15" t="s">
        <v>971</v>
      </c>
      <c r="D416" s="15" t="s">
        <v>61</v>
      </c>
      <c r="E416" s="15" t="s">
        <v>156</v>
      </c>
      <c r="F416" s="15">
        <v>273</v>
      </c>
      <c r="G416" s="15" t="s">
        <v>972</v>
      </c>
      <c r="H416" s="16">
        <v>45809</v>
      </c>
      <c r="I416" s="15" t="s">
        <v>973</v>
      </c>
      <c r="J416" s="15" t="s">
        <v>974</v>
      </c>
      <c r="K416" s="13" t="str">
        <f t="shared" si="6"/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975</v>
      </c>
      <c r="B417" s="13" t="s">
        <v>59</v>
      </c>
      <c r="C417" s="13" t="s">
        <v>976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 t="str">
        <f t="shared" si="6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977</v>
      </c>
      <c r="B418" s="15" t="s">
        <v>74</v>
      </c>
      <c r="C418" s="15" t="s">
        <v>978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3" t="str">
        <f t="shared" si="6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979</v>
      </c>
      <c r="B419" s="13" t="s">
        <v>74</v>
      </c>
      <c r="C419" s="13" t="s">
        <v>980</v>
      </c>
      <c r="D419" s="13" t="s">
        <v>669</v>
      </c>
      <c r="E419" s="13" t="s">
        <v>62</v>
      </c>
      <c r="F419" s="13"/>
      <c r="G419" s="13"/>
      <c r="H419" s="14"/>
      <c r="I419" s="13"/>
      <c r="J419" s="13"/>
      <c r="K419" s="13" t="str">
        <f t="shared" si="6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981</v>
      </c>
      <c r="B420" s="15" t="s">
        <v>74</v>
      </c>
      <c r="C420" s="15" t="s">
        <v>982</v>
      </c>
      <c r="D420" s="15" t="s">
        <v>669</v>
      </c>
      <c r="E420" s="15" t="s">
        <v>62</v>
      </c>
      <c r="F420" s="15"/>
      <c r="G420" s="15"/>
      <c r="H420" s="16"/>
      <c r="I420" s="15"/>
      <c r="J420" s="15"/>
      <c r="K420" s="13" t="str">
        <f t="shared" si="6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983</v>
      </c>
      <c r="B421" s="13" t="s">
        <v>187</v>
      </c>
      <c r="C421" s="13" t="s">
        <v>984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 t="str">
        <f t="shared" si="6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985</v>
      </c>
      <c r="B422" s="15" t="s">
        <v>74</v>
      </c>
      <c r="C422" s="15" t="s">
        <v>986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3" t="str">
        <f t="shared" si="6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987</v>
      </c>
      <c r="B423" s="13" t="s">
        <v>74</v>
      </c>
      <c r="C423" s="13" t="s">
        <v>988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 t="str">
        <f t="shared" si="6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989</v>
      </c>
      <c r="B424" s="15" t="s">
        <v>194</v>
      </c>
      <c r="C424" s="15" t="s">
        <v>990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3" t="str">
        <f t="shared" si="6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991</v>
      </c>
      <c r="B425" s="13" t="s">
        <v>128</v>
      </c>
      <c r="C425" s="13" t="s">
        <v>992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 t="str">
        <f t="shared" si="6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993</v>
      </c>
      <c r="B426" s="15" t="s">
        <v>128</v>
      </c>
      <c r="C426" s="15" t="s">
        <v>994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3" t="str">
        <f t="shared" si="6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995</v>
      </c>
      <c r="B427" s="13" t="s">
        <v>359</v>
      </c>
      <c r="C427" s="13" t="s">
        <v>996</v>
      </c>
      <c r="D427" s="13" t="s">
        <v>61</v>
      </c>
      <c r="E427" s="13" t="s">
        <v>62</v>
      </c>
      <c r="F427" s="13"/>
      <c r="G427" s="13"/>
      <c r="H427" s="14"/>
      <c r="I427" s="13"/>
      <c r="J427" s="13"/>
      <c r="K427" s="13" t="str">
        <f t="shared" si="6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997</v>
      </c>
      <c r="B428" s="15" t="s">
        <v>74</v>
      </c>
      <c r="C428" s="15" t="s">
        <v>998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3" t="str">
        <f t="shared" si="6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999</v>
      </c>
      <c r="B429" s="13" t="s">
        <v>194</v>
      </c>
      <c r="C429" s="13" t="s">
        <v>1000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 t="str">
        <f t="shared" si="6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999</v>
      </c>
      <c r="B430" s="15" t="s">
        <v>194</v>
      </c>
      <c r="C430" s="15" t="s">
        <v>1001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3" t="str">
        <f t="shared" si="6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1002</v>
      </c>
      <c r="B431" s="13" t="s">
        <v>74</v>
      </c>
      <c r="C431" s="13" t="s">
        <v>1003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 t="str">
        <f t="shared" si="6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1004</v>
      </c>
      <c r="B432" s="15" t="s">
        <v>144</v>
      </c>
      <c r="C432" s="15" t="s">
        <v>1005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3" t="str">
        <f t="shared" si="6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1006</v>
      </c>
      <c r="B433" s="13" t="s">
        <v>59</v>
      </c>
      <c r="C433" s="13" t="s">
        <v>1007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 t="str">
        <f t="shared" si="6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1008</v>
      </c>
      <c r="B434" s="15" t="s">
        <v>147</v>
      </c>
      <c r="C434" s="15" t="s">
        <v>1009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3" t="str">
        <f t="shared" si="6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1010</v>
      </c>
      <c r="B435" s="13" t="s">
        <v>163</v>
      </c>
      <c r="C435" s="13" t="s">
        <v>1011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 t="str">
        <f t="shared" si="6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1012</v>
      </c>
      <c r="B436" s="15" t="s">
        <v>163</v>
      </c>
      <c r="C436" s="15" t="s">
        <v>1013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3" t="str">
        <f t="shared" si="6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1014</v>
      </c>
      <c r="B437" s="13" t="s">
        <v>194</v>
      </c>
      <c r="C437" s="13" t="s">
        <v>1015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 t="str">
        <f t="shared" si="6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1016</v>
      </c>
      <c r="B438" s="15" t="s">
        <v>59</v>
      </c>
      <c r="C438" s="15" t="s">
        <v>1017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3" t="str">
        <f t="shared" si="6"/>
        <v>https://en.wikipedia.org/wiki/Rumson,_New_Jersey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1018</v>
      </c>
      <c r="AM438" s="15" t="s">
        <v>1019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1020</v>
      </c>
      <c r="B439" s="13" t="s">
        <v>109</v>
      </c>
      <c r="C439" s="13" t="s">
        <v>1021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 t="str">
        <f t="shared" si="6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1022</v>
      </c>
      <c r="B440" s="15" t="s">
        <v>74</v>
      </c>
      <c r="C440" s="15" t="s">
        <v>1023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3" t="str">
        <f t="shared" si="6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1024</v>
      </c>
      <c r="B441" s="13" t="s">
        <v>74</v>
      </c>
      <c r="C441" s="13" t="s">
        <v>1025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 t="str">
        <f t="shared" si="6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1026</v>
      </c>
      <c r="B442" s="15" t="s">
        <v>74</v>
      </c>
      <c r="C442" s="15" t="s">
        <v>1027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3" t="str">
        <f t="shared" si="6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87</v>
      </c>
      <c r="B443" s="13" t="s">
        <v>87</v>
      </c>
      <c r="C443" s="13" t="s">
        <v>1028</v>
      </c>
      <c r="D443" s="13" t="s">
        <v>66</v>
      </c>
      <c r="E443" s="13" t="s">
        <v>156</v>
      </c>
      <c r="F443" s="13">
        <v>209</v>
      </c>
      <c r="G443" t="s">
        <v>1492</v>
      </c>
      <c r="H443" s="14">
        <v>45478</v>
      </c>
      <c r="I443" s="13"/>
      <c r="J443" s="13"/>
      <c r="K443" s="13" t="str">
        <f t="shared" si="6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1029</v>
      </c>
      <c r="B444" s="15" t="s">
        <v>94</v>
      </c>
      <c r="C444" s="15" t="s">
        <v>1030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3" t="str">
        <f t="shared" si="6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1031</v>
      </c>
      <c r="B445" s="13" t="s">
        <v>250</v>
      </c>
      <c r="C445" s="13" t="s">
        <v>1032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 t="str">
        <f t="shared" si="6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1033</v>
      </c>
      <c r="B446" s="15" t="s">
        <v>163</v>
      </c>
      <c r="C446" s="15" t="s">
        <v>1034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3" t="str">
        <f t="shared" si="6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1035</v>
      </c>
      <c r="B447" s="13" t="s">
        <v>59</v>
      </c>
      <c r="C447" s="13" t="s">
        <v>1036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 t="str">
        <f t="shared" si="6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1037</v>
      </c>
      <c r="B448" s="15" t="s">
        <v>59</v>
      </c>
      <c r="C448" s="15" t="s">
        <v>1038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3" t="str">
        <f t="shared" si="6"/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1039</v>
      </c>
      <c r="B449" s="13" t="s">
        <v>114</v>
      </c>
      <c r="C449" s="13" t="s">
        <v>1040</v>
      </c>
      <c r="D449" s="13" t="s">
        <v>66</v>
      </c>
      <c r="E449" s="13" t="s">
        <v>156</v>
      </c>
      <c r="F449" s="13"/>
      <c r="G449" s="13" t="s">
        <v>1409</v>
      </c>
      <c r="H449" s="14">
        <v>45564</v>
      </c>
      <c r="I449" s="13" t="s">
        <v>1414</v>
      </c>
      <c r="J449" s="13" t="s">
        <v>1415</v>
      </c>
      <c r="K449" s="13" t="str">
        <f t="shared" si="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1041</v>
      </c>
      <c r="B450" s="15" t="s">
        <v>121</v>
      </c>
      <c r="C450" s="15" t="s">
        <v>1042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3" t="str">
        <f t="shared" si="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1043</v>
      </c>
      <c r="B451" s="13" t="s">
        <v>121</v>
      </c>
      <c r="C451" s="13" t="s">
        <v>1044</v>
      </c>
      <c r="D451" s="13" t="s">
        <v>76</v>
      </c>
      <c r="E451" s="13" t="s">
        <v>156</v>
      </c>
      <c r="F451" s="13">
        <v>278</v>
      </c>
      <c r="G451" t="s">
        <v>1540</v>
      </c>
      <c r="H451" s="14">
        <v>45860</v>
      </c>
      <c r="I451" s="13"/>
      <c r="J451" s="13"/>
      <c r="K451" s="13" t="str">
        <f t="shared" si="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1045</v>
      </c>
      <c r="B452" s="15" t="s">
        <v>133</v>
      </c>
      <c r="C452" s="15" t="s">
        <v>1046</v>
      </c>
      <c r="D452" s="15" t="s">
        <v>155</v>
      </c>
      <c r="E452" s="15" t="s">
        <v>62</v>
      </c>
      <c r="F452" s="15"/>
      <c r="G452" s="15"/>
      <c r="H452" s="16"/>
      <c r="I452" s="15"/>
      <c r="J452" s="15"/>
      <c r="K452" s="13" t="str">
        <f t="shared" ref="K452:K515" si="7">IF(A452="","","https://en.wikipedia.org/wiki/"&amp;SUBSTITUTE(A452," ","_")&amp;IF(D452="township","_Township","")&amp;",_New_Jersey")</f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1047</v>
      </c>
      <c r="B453" s="13" t="s">
        <v>128</v>
      </c>
      <c r="C453" s="13" t="s">
        <v>1048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 t="str">
        <f t="shared" si="7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1049</v>
      </c>
      <c r="B454" s="15" t="s">
        <v>213</v>
      </c>
      <c r="C454" s="15" t="s">
        <v>1050</v>
      </c>
      <c r="D454" s="15" t="s">
        <v>76</v>
      </c>
      <c r="E454" s="15" t="s">
        <v>156</v>
      </c>
      <c r="F454" s="15">
        <v>196</v>
      </c>
      <c r="G454" t="s">
        <v>1468</v>
      </c>
      <c r="H454" s="16">
        <v>45444</v>
      </c>
      <c r="I454" s="15"/>
      <c r="J454" s="15"/>
      <c r="K454" s="13" t="str">
        <f t="shared" si="7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1051</v>
      </c>
      <c r="B455" s="13" t="s">
        <v>121</v>
      </c>
      <c r="C455" s="13" t="s">
        <v>1052</v>
      </c>
      <c r="D455" s="13" t="s">
        <v>76</v>
      </c>
      <c r="E455" s="13" t="s">
        <v>156</v>
      </c>
      <c r="F455" s="13">
        <v>192</v>
      </c>
      <c r="G455" t="s">
        <v>1541</v>
      </c>
      <c r="H455" s="14">
        <v>45416</v>
      </c>
      <c r="I455" s="13"/>
      <c r="J455" s="13"/>
      <c r="K455" s="13" t="str">
        <f t="shared" si="7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1053</v>
      </c>
      <c r="B456" s="15" t="s">
        <v>59</v>
      </c>
      <c r="C456" s="15" t="s">
        <v>1054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3" t="str">
        <f t="shared" si="7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1053</v>
      </c>
      <c r="B457" s="13" t="s">
        <v>59</v>
      </c>
      <c r="C457" s="13" t="s">
        <v>1055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 t="str">
        <f t="shared" si="7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1056</v>
      </c>
      <c r="B458" s="15" t="s">
        <v>109</v>
      </c>
      <c r="C458" s="15" t="s">
        <v>1057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3" t="str">
        <f t="shared" si="7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1058</v>
      </c>
      <c r="B459" s="13" t="s">
        <v>64</v>
      </c>
      <c r="C459" s="13" t="s">
        <v>1059</v>
      </c>
      <c r="D459" s="13" t="s">
        <v>66</v>
      </c>
      <c r="E459" s="13" t="s">
        <v>101</v>
      </c>
      <c r="F459" s="13"/>
      <c r="G459" s="13" t="s">
        <v>1060</v>
      </c>
      <c r="H459" s="14">
        <v>44250</v>
      </c>
      <c r="I459" s="13" t="s">
        <v>1061</v>
      </c>
      <c r="J459" s="13" t="s">
        <v>1062</v>
      </c>
      <c r="K459" s="13" t="str">
        <f t="shared" si="7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1063</v>
      </c>
      <c r="B460" s="15" t="s">
        <v>144</v>
      </c>
      <c r="C460" s="15" t="s">
        <v>1064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3" t="str">
        <f t="shared" si="7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1065</v>
      </c>
      <c r="B461" s="13" t="s">
        <v>250</v>
      </c>
      <c r="C461" s="13" t="s">
        <v>1066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 t="str">
        <f t="shared" si="7"/>
        <v>https://en.wikipedia.org/wiki/South_Amboy,_New_Jersey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1067</v>
      </c>
      <c r="AM461" s="13" t="s">
        <v>1068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1069</v>
      </c>
      <c r="B462" s="15" t="s">
        <v>144</v>
      </c>
      <c r="C462" s="15" t="s">
        <v>1070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3" t="str">
        <f t="shared" si="7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1071</v>
      </c>
      <c r="B463" s="13" t="s">
        <v>250</v>
      </c>
      <c r="C463" s="13" t="s">
        <v>1072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 t="str">
        <f t="shared" si="7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1073</v>
      </c>
      <c r="B464" s="15" t="s">
        <v>74</v>
      </c>
      <c r="C464" s="15" t="s">
        <v>1074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3" t="str">
        <f t="shared" si="7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1075</v>
      </c>
      <c r="B465" s="13" t="s">
        <v>275</v>
      </c>
      <c r="C465" s="13" t="s">
        <v>1076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 t="str">
        <f t="shared" si="7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1077</v>
      </c>
      <c r="B466" s="15" t="s">
        <v>147</v>
      </c>
      <c r="C466" s="15" t="s">
        <v>1078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3" t="str">
        <f t="shared" si="7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1079</v>
      </c>
      <c r="B467" s="13" t="s">
        <v>250</v>
      </c>
      <c r="C467" s="13" t="s">
        <v>1080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 t="str">
        <f t="shared" si="7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1081</v>
      </c>
      <c r="B468" s="15" t="s">
        <v>250</v>
      </c>
      <c r="C468" s="15" t="s">
        <v>1082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3" t="str">
        <f t="shared" si="7"/>
        <v>https://en.wikipedia.org/wiki/South_River,_New_Jersey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1083</v>
      </c>
      <c r="AM468" s="15" t="s">
        <v>1084</v>
      </c>
      <c r="AN468" s="15"/>
      <c r="AO468" s="15"/>
      <c r="AP468" s="15" t="s">
        <v>1085</v>
      </c>
      <c r="AQ468" s="15" t="s">
        <v>1086</v>
      </c>
      <c r="AR468" s="15"/>
      <c r="AS468" s="15"/>
      <c r="AT468" s="15"/>
      <c r="AU468" s="15"/>
    </row>
    <row r="469" spans="1:47" ht="16" customHeight="1" x14ac:dyDescent="0.2">
      <c r="A469" s="13" t="s">
        <v>1087</v>
      </c>
      <c r="B469" s="13" t="s">
        <v>121</v>
      </c>
      <c r="C469" s="13" t="s">
        <v>1088</v>
      </c>
      <c r="D469" s="13" t="s">
        <v>76</v>
      </c>
      <c r="E469" s="13" t="s">
        <v>156</v>
      </c>
      <c r="F469" s="13">
        <v>165</v>
      </c>
      <c r="G469" t="s">
        <v>1542</v>
      </c>
      <c r="H469" s="14">
        <v>45297</v>
      </c>
      <c r="I469" s="13"/>
      <c r="J469" s="13"/>
      <c r="K469" s="13" t="str">
        <f t="shared" si="7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1089</v>
      </c>
      <c r="B470" s="15" t="s">
        <v>128</v>
      </c>
      <c r="C470" s="15" t="s">
        <v>1090</v>
      </c>
      <c r="D470" s="15" t="s">
        <v>61</v>
      </c>
      <c r="E470" s="15" t="s">
        <v>156</v>
      </c>
      <c r="F470" s="15">
        <v>262</v>
      </c>
      <c r="G470" t="s">
        <v>1506</v>
      </c>
      <c r="H470" s="16">
        <v>45682</v>
      </c>
      <c r="I470" s="15"/>
      <c r="J470" s="15"/>
      <c r="K470" s="13" t="str">
        <f t="shared" si="7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1091</v>
      </c>
      <c r="B471" s="13" t="s">
        <v>94</v>
      </c>
      <c r="C471" s="13" t="s">
        <v>1092</v>
      </c>
      <c r="D471" s="13" t="s">
        <v>61</v>
      </c>
      <c r="E471" s="13" t="s">
        <v>79</v>
      </c>
      <c r="F471" s="13">
        <v>127</v>
      </c>
      <c r="G471" s="13" t="s">
        <v>1093</v>
      </c>
      <c r="H471" s="14">
        <v>45222</v>
      </c>
      <c r="I471" s="13"/>
      <c r="J471" s="13"/>
      <c r="K471" s="13" t="str">
        <f t="shared" si="7"/>
        <v>https://en.wikipedia.org/wiki/Sparta_Township,_New_Jersey</v>
      </c>
      <c r="L471" s="13" t="s">
        <v>1094</v>
      </c>
      <c r="M471" s="13" t="s">
        <v>1095</v>
      </c>
      <c r="N471" s="13" t="s">
        <v>1096</v>
      </c>
      <c r="O471" s="13" t="s">
        <v>1097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1094</v>
      </c>
      <c r="AG471" s="13" t="s">
        <v>1098</v>
      </c>
      <c r="AH471" s="13" t="s">
        <v>1096</v>
      </c>
      <c r="AI471" s="13" t="s">
        <v>1099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1100</v>
      </c>
      <c r="B472" s="15" t="s">
        <v>250</v>
      </c>
      <c r="C472" s="15" t="s">
        <v>1101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3" t="str">
        <f t="shared" si="7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1102</v>
      </c>
      <c r="B473" s="13" t="s">
        <v>59</v>
      </c>
      <c r="C473" s="13" t="s">
        <v>1103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 t="str">
        <f t="shared" si="7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1104</v>
      </c>
      <c r="B474" s="15" t="s">
        <v>59</v>
      </c>
      <c r="C474" s="15" t="s">
        <v>1105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3" t="str">
        <f t="shared" si="7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1106</v>
      </c>
      <c r="B475" s="13" t="s">
        <v>128</v>
      </c>
      <c r="C475" s="13" t="s">
        <v>1107</v>
      </c>
      <c r="D475" s="13" t="s">
        <v>61</v>
      </c>
      <c r="E475" s="13" t="s">
        <v>156</v>
      </c>
      <c r="F475" s="13">
        <v>143</v>
      </c>
      <c r="G475" t="s">
        <v>1507</v>
      </c>
      <c r="H475" s="14">
        <v>45254</v>
      </c>
      <c r="I475" s="13"/>
      <c r="J475" s="13"/>
      <c r="K475" s="13" t="s">
        <v>1448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1106</v>
      </c>
      <c r="B476" s="15" t="s">
        <v>163</v>
      </c>
      <c r="C476" s="15" t="s">
        <v>1108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3" t="s">
        <v>1449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1109</v>
      </c>
      <c r="B477" s="13" t="s">
        <v>121</v>
      </c>
      <c r="C477" s="13" t="s">
        <v>1110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 t="str">
        <f t="shared" si="7"/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1111</v>
      </c>
      <c r="B478" s="15" t="s">
        <v>94</v>
      </c>
      <c r="C478" s="15" t="s">
        <v>1112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3" t="str">
        <f t="shared" si="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1113</v>
      </c>
      <c r="B479" s="13" t="s">
        <v>94</v>
      </c>
      <c r="C479" s="13" t="s">
        <v>1114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 t="str">
        <f t="shared" si="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1115</v>
      </c>
      <c r="B480" s="15" t="s">
        <v>68</v>
      </c>
      <c r="C480" s="15" t="s">
        <v>1116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3" t="str">
        <f t="shared" si="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1117</v>
      </c>
      <c r="B481" s="13" t="s">
        <v>114</v>
      </c>
      <c r="C481" s="13" t="s">
        <v>1118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 t="str">
        <f t="shared" si="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1119</v>
      </c>
      <c r="B482" s="15" t="s">
        <v>213</v>
      </c>
      <c r="C482" s="15" t="s">
        <v>1120</v>
      </c>
      <c r="D482" s="15" t="s">
        <v>61</v>
      </c>
      <c r="E482" s="15" t="s">
        <v>156</v>
      </c>
      <c r="F482" s="15">
        <v>197</v>
      </c>
      <c r="G482" t="s">
        <v>1469</v>
      </c>
      <c r="H482" s="16">
        <v>45444</v>
      </c>
      <c r="I482" s="15"/>
      <c r="J482" s="15"/>
      <c r="K482" s="13" t="str">
        <f t="shared" si="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1121</v>
      </c>
      <c r="B483" s="13" t="s">
        <v>109</v>
      </c>
      <c r="C483" s="13" t="s">
        <v>1122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 t="str">
        <f t="shared" si="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1123</v>
      </c>
      <c r="B484" s="15" t="s">
        <v>163</v>
      </c>
      <c r="C484" s="15" t="s">
        <v>1124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3" t="str">
        <f t="shared" si="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1125</v>
      </c>
      <c r="B485" s="13" t="s">
        <v>121</v>
      </c>
      <c r="C485" s="13" t="s">
        <v>1126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 t="str">
        <f t="shared" si="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94</v>
      </c>
      <c r="B486" s="15" t="s">
        <v>94</v>
      </c>
      <c r="C486" s="15" t="s">
        <v>1127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3" t="str">
        <f t="shared" si="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1128</v>
      </c>
      <c r="B487" s="13" t="s">
        <v>275</v>
      </c>
      <c r="C487" s="13" t="s">
        <v>1129</v>
      </c>
      <c r="D487" s="13" t="s">
        <v>76</v>
      </c>
      <c r="E487" s="13" t="s">
        <v>156</v>
      </c>
      <c r="F487" s="13">
        <v>136</v>
      </c>
      <c r="G487" t="s">
        <v>1479</v>
      </c>
      <c r="H487" s="14">
        <v>45235</v>
      </c>
      <c r="I487" s="13"/>
      <c r="J487" s="13"/>
      <c r="K487" s="13" t="str">
        <f t="shared" si="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1130</v>
      </c>
      <c r="B488" s="15" t="s">
        <v>128</v>
      </c>
      <c r="C488" s="15" t="s">
        <v>1131</v>
      </c>
      <c r="D488" s="15" t="s">
        <v>61</v>
      </c>
      <c r="E488" s="15" t="s">
        <v>156</v>
      </c>
      <c r="F488" s="15">
        <v>243</v>
      </c>
      <c r="G488" t="s">
        <v>1508</v>
      </c>
      <c r="H488" s="16">
        <v>45584</v>
      </c>
      <c r="I488" s="15"/>
      <c r="J488" s="15"/>
      <c r="K488" s="13" t="str">
        <f t="shared" si="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1132</v>
      </c>
      <c r="B489" s="13" t="s">
        <v>109</v>
      </c>
      <c r="C489" s="13" t="s">
        <v>1133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 t="str">
        <f t="shared" si="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1134</v>
      </c>
      <c r="B490" s="15" t="s">
        <v>74</v>
      </c>
      <c r="C490" s="15" t="s">
        <v>1135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3" t="str">
        <f t="shared" si="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1136</v>
      </c>
      <c r="B491" s="13" t="s">
        <v>74</v>
      </c>
      <c r="C491" s="13" t="s">
        <v>1137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 t="str">
        <f t="shared" si="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1138</v>
      </c>
      <c r="B492" s="15" t="s">
        <v>74</v>
      </c>
      <c r="C492" s="15" t="s">
        <v>1139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3" t="str">
        <f t="shared" si="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1140</v>
      </c>
      <c r="B493" s="13" t="s">
        <v>68</v>
      </c>
      <c r="C493" s="13" t="s">
        <v>1141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 t="str">
        <f t="shared" si="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1142</v>
      </c>
      <c r="B494" s="15" t="s">
        <v>59</v>
      </c>
      <c r="C494" s="15" t="s">
        <v>1143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3" t="str">
        <f t="shared" si="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1144</v>
      </c>
      <c r="B495" s="13" t="s">
        <v>121</v>
      </c>
      <c r="C495" s="13" t="s">
        <v>1145</v>
      </c>
      <c r="D495" s="13" t="s">
        <v>61</v>
      </c>
      <c r="E495" s="13" t="s">
        <v>101</v>
      </c>
      <c r="F495" s="13"/>
      <c r="G495" t="s">
        <v>1544</v>
      </c>
      <c r="H495" s="14">
        <v>42406</v>
      </c>
      <c r="I495" s="13"/>
      <c r="J495" s="13"/>
      <c r="K495" s="13" t="str">
        <f t="shared" si="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1146</v>
      </c>
      <c r="B496" s="15" t="s">
        <v>187</v>
      </c>
      <c r="C496" s="15" t="s">
        <v>1147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3" t="str">
        <f t="shared" si="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1148</v>
      </c>
      <c r="B497" s="13" t="s">
        <v>359</v>
      </c>
      <c r="C497" s="13" t="s">
        <v>1149</v>
      </c>
      <c r="D497" s="13" t="s">
        <v>66</v>
      </c>
      <c r="E497" s="13" t="s">
        <v>79</v>
      </c>
      <c r="F497" s="13"/>
      <c r="G497" s="13"/>
      <c r="H497" s="14"/>
      <c r="I497" s="13"/>
      <c r="J497" s="13"/>
      <c r="K497" s="13" t="str">
        <f t="shared" si="7"/>
        <v>https://en.wikipedia.org/wiki/Trenton,_New_Jersey</v>
      </c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 t="s">
        <v>1150</v>
      </c>
      <c r="AM497" s="13" t="s">
        <v>1151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1152</v>
      </c>
      <c r="B498" s="15" t="s">
        <v>121</v>
      </c>
      <c r="C498" s="15" t="s">
        <v>1153</v>
      </c>
      <c r="D498" s="15" t="s">
        <v>76</v>
      </c>
      <c r="E498" s="15" t="s">
        <v>156</v>
      </c>
      <c r="F498" s="15">
        <v>246</v>
      </c>
      <c r="G498" t="s">
        <v>1543</v>
      </c>
      <c r="H498" s="16">
        <v>45606</v>
      </c>
      <c r="I498" s="15"/>
      <c r="J498" s="15"/>
      <c r="K498" s="13" t="str">
        <f t="shared" si="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163</v>
      </c>
      <c r="B499" s="13" t="s">
        <v>68</v>
      </c>
      <c r="C499" s="13" t="s">
        <v>1154</v>
      </c>
      <c r="D499" s="13" t="s">
        <v>61</v>
      </c>
      <c r="E499" s="13" t="s">
        <v>79</v>
      </c>
      <c r="F499" s="13">
        <v>121</v>
      </c>
      <c r="G499" s="13" t="s">
        <v>1155</v>
      </c>
      <c r="H499" s="14">
        <v>45207</v>
      </c>
      <c r="I499" s="13"/>
      <c r="J499" s="13"/>
      <c r="K499" s="13" t="s">
        <v>1450</v>
      </c>
      <c r="L499" s="13" t="s">
        <v>1156</v>
      </c>
      <c r="M499" s="13" t="s">
        <v>974</v>
      </c>
      <c r="N499" s="13" t="s">
        <v>1157</v>
      </c>
      <c r="O499" s="13" t="s">
        <v>1158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1157</v>
      </c>
      <c r="AG499" s="13" t="s">
        <v>1159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163</v>
      </c>
      <c r="B500" s="15" t="s">
        <v>163</v>
      </c>
      <c r="C500" s="15" t="s">
        <v>1160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3" t="s">
        <v>1451</v>
      </c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1161</v>
      </c>
      <c r="AM500" s="15" t="s">
        <v>1162</v>
      </c>
      <c r="AN500" s="15"/>
      <c r="AO500" s="15"/>
      <c r="AP500" s="15" t="s">
        <v>1163</v>
      </c>
      <c r="AQ500" s="15" t="s">
        <v>1164</v>
      </c>
      <c r="AR500" s="15"/>
      <c r="AS500" s="15"/>
      <c r="AT500" s="15"/>
      <c r="AU500" s="15"/>
    </row>
    <row r="501" spans="1:47" ht="16" customHeight="1" x14ac:dyDescent="0.2">
      <c r="A501" s="13" t="s">
        <v>1165</v>
      </c>
      <c r="B501" s="13" t="s">
        <v>59</v>
      </c>
      <c r="C501" s="13" t="s">
        <v>1166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 t="str">
        <f t="shared" si="7"/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1167</v>
      </c>
      <c r="B502" s="15" t="s">
        <v>133</v>
      </c>
      <c r="C502" s="15" t="s">
        <v>1168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3" t="str">
        <f t="shared" si="7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1169</v>
      </c>
      <c r="B503" s="13" t="s">
        <v>114</v>
      </c>
      <c r="C503" s="13" t="s">
        <v>1170</v>
      </c>
      <c r="D503" s="13" t="s">
        <v>61</v>
      </c>
      <c r="E503" s="13" t="s">
        <v>101</v>
      </c>
      <c r="F503" s="13"/>
      <c r="G503" s="13" t="s">
        <v>1410</v>
      </c>
      <c r="H503" s="14">
        <v>42946</v>
      </c>
      <c r="I503" s="13" t="s">
        <v>1410</v>
      </c>
      <c r="J503" s="13" t="s">
        <v>1416</v>
      </c>
      <c r="K503" s="13" t="str">
        <f t="shared" si="7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1171</v>
      </c>
      <c r="B504" s="15" t="s">
        <v>213</v>
      </c>
      <c r="C504" s="15" t="s">
        <v>1172</v>
      </c>
      <c r="D504" s="15" t="s">
        <v>61</v>
      </c>
      <c r="E504" s="15" t="s">
        <v>156</v>
      </c>
      <c r="F504" s="15">
        <v>204</v>
      </c>
      <c r="G504" t="s">
        <v>1470</v>
      </c>
      <c r="H504" s="16">
        <v>45466</v>
      </c>
      <c r="I504" s="15"/>
      <c r="J504" s="15"/>
      <c r="K504" s="13" t="str">
        <f t="shared" si="7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1173</v>
      </c>
      <c r="B505" s="13" t="s">
        <v>59</v>
      </c>
      <c r="C505" s="13" t="s">
        <v>1174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 t="str">
        <f t="shared" si="7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1175</v>
      </c>
      <c r="B506" s="15" t="s">
        <v>87</v>
      </c>
      <c r="C506" s="15" t="s">
        <v>1176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3" t="str">
        <f t="shared" si="7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1177</v>
      </c>
      <c r="B507" s="13" t="s">
        <v>74</v>
      </c>
      <c r="C507" s="13" t="s">
        <v>1178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 t="str">
        <f t="shared" si="7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1179</v>
      </c>
      <c r="B508" s="15" t="s">
        <v>64</v>
      </c>
      <c r="C508" s="15" t="s">
        <v>1180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3" t="str">
        <f t="shared" si="7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1181</v>
      </c>
      <c r="B509" s="13" t="s">
        <v>94</v>
      </c>
      <c r="C509" s="13" t="s">
        <v>1182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 t="str">
        <f t="shared" si="7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1183</v>
      </c>
      <c r="B510" s="15" t="s">
        <v>147</v>
      </c>
      <c r="C510" s="15" t="s">
        <v>1184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3" t="str">
        <f t="shared" si="7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1185</v>
      </c>
      <c r="B511" s="13" t="s">
        <v>194</v>
      </c>
      <c r="C511" s="13" t="s">
        <v>1186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 t="str">
        <f t="shared" si="7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1187</v>
      </c>
      <c r="B512" s="15" t="s">
        <v>213</v>
      </c>
      <c r="C512" s="15" t="s">
        <v>1188</v>
      </c>
      <c r="D512" s="15" t="s">
        <v>66</v>
      </c>
      <c r="E512" s="15" t="s">
        <v>156</v>
      </c>
      <c r="F512" s="15">
        <v>206</v>
      </c>
      <c r="G512" t="s">
        <v>1471</v>
      </c>
      <c r="H512" s="16">
        <v>45466</v>
      </c>
      <c r="I512" s="15"/>
      <c r="J512" s="15"/>
      <c r="K512" s="13" t="str">
        <f t="shared" si="7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1189</v>
      </c>
      <c r="B513" s="13" t="s">
        <v>109</v>
      </c>
      <c r="C513" s="13" t="s">
        <v>1190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 t="str">
        <f t="shared" si="7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1191</v>
      </c>
      <c r="B514" s="15" t="s">
        <v>74</v>
      </c>
      <c r="C514" s="15" t="s">
        <v>1192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3" t="str">
        <f t="shared" si="7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1193</v>
      </c>
      <c r="B515" s="13" t="s">
        <v>59</v>
      </c>
      <c r="C515" s="13" t="s">
        <v>1194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 t="str">
        <f t="shared" si="7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1195</v>
      </c>
      <c r="B516" s="15" t="s">
        <v>74</v>
      </c>
      <c r="C516" s="15" t="s">
        <v>1196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3" t="str">
        <f t="shared" ref="K516:K566" si="8">IF(A516="","","https://en.wikipedia.org/wiki/"&amp;SUBSTITUTE(A516," ","_")&amp;IF(D516="township","_Township","")&amp;",_New_Jersey")</f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1197</v>
      </c>
      <c r="B517" s="13" t="s">
        <v>94</v>
      </c>
      <c r="C517" s="13" t="s">
        <v>1198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 t="str">
        <f t="shared" si="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1199</v>
      </c>
      <c r="B518" s="15" t="s">
        <v>187</v>
      </c>
      <c r="C518" s="15" t="s">
        <v>1200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3" t="str">
        <f t="shared" si="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1201</v>
      </c>
      <c r="B519" s="13" t="s">
        <v>94</v>
      </c>
      <c r="C519" s="13" t="s">
        <v>1202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 t="str">
        <f t="shared" si="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71</v>
      </c>
      <c r="B520" s="15" t="s">
        <v>144</v>
      </c>
      <c r="C520" s="15" t="s">
        <v>1203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3" t="str">
        <f t="shared" si="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1204</v>
      </c>
      <c r="B521" s="13" t="s">
        <v>74</v>
      </c>
      <c r="C521" s="13" t="s">
        <v>1205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 t="s">
        <v>1452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1204</v>
      </c>
      <c r="B522" s="15" t="s">
        <v>128</v>
      </c>
      <c r="C522" s="15" t="s">
        <v>1206</v>
      </c>
      <c r="D522" s="15" t="s">
        <v>61</v>
      </c>
      <c r="E522" s="15" t="s">
        <v>156</v>
      </c>
      <c r="F522" s="15">
        <v>225</v>
      </c>
      <c r="G522" t="s">
        <v>1509</v>
      </c>
      <c r="H522" s="16">
        <v>45529</v>
      </c>
      <c r="I522" s="15"/>
      <c r="J522" s="15"/>
      <c r="K522" s="13" t="s">
        <v>1453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1204</v>
      </c>
      <c r="B523" s="13" t="s">
        <v>275</v>
      </c>
      <c r="C523" s="13" t="s">
        <v>1207</v>
      </c>
      <c r="D523" s="13" t="s">
        <v>61</v>
      </c>
      <c r="E523" s="13" t="s">
        <v>156</v>
      </c>
      <c r="F523" s="13">
        <v>135</v>
      </c>
      <c r="G523" t="s">
        <v>1480</v>
      </c>
      <c r="H523" s="14">
        <v>45235</v>
      </c>
      <c r="I523" s="13"/>
      <c r="J523" s="13"/>
      <c r="K523" s="13" t="s">
        <v>1454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1204</v>
      </c>
      <c r="B524" s="15" t="s">
        <v>194</v>
      </c>
      <c r="C524" s="15" t="s">
        <v>1208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3" t="s">
        <v>1455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1204</v>
      </c>
      <c r="B525" s="13" t="s">
        <v>71</v>
      </c>
      <c r="C525" s="13" t="s">
        <v>1209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 t="s">
        <v>1456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1204</v>
      </c>
      <c r="B526" s="15" t="s">
        <v>71</v>
      </c>
      <c r="C526" s="15" t="s">
        <v>1210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3" t="s">
        <v>1457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1211</v>
      </c>
      <c r="B527" s="13" t="s">
        <v>144</v>
      </c>
      <c r="C527" s="13" t="s">
        <v>1212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 t="str">
        <f t="shared" si="8"/>
        <v>https://en.wikipedia.org/wiki/Watchung,_New_Jersey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1213</v>
      </c>
      <c r="AM527" s="13" t="s">
        <v>1214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1215</v>
      </c>
      <c r="B528" s="15" t="s">
        <v>109</v>
      </c>
      <c r="C528" s="15" t="s">
        <v>1216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3" t="str">
        <f t="shared" si="8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1217</v>
      </c>
      <c r="B529" s="13" t="s">
        <v>187</v>
      </c>
      <c r="C529" s="13" t="s">
        <v>1218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 t="str">
        <f t="shared" si="8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1219</v>
      </c>
      <c r="B530" s="15" t="s">
        <v>133</v>
      </c>
      <c r="C530" s="15" t="s">
        <v>1220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3" t="str">
        <f t="shared" si="8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1221</v>
      </c>
      <c r="B531" s="13" t="s">
        <v>275</v>
      </c>
      <c r="C531" s="13" t="s">
        <v>1222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 t="str">
        <f t="shared" si="8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1223</v>
      </c>
      <c r="B532" s="15" t="s">
        <v>68</v>
      </c>
      <c r="C532" s="15" t="s">
        <v>1224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3" t="str">
        <f t="shared" si="8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1225</v>
      </c>
      <c r="B533" s="13" t="s">
        <v>147</v>
      </c>
      <c r="C533" s="13" t="s">
        <v>1226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 t="str">
        <f t="shared" si="8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1227</v>
      </c>
      <c r="B534" s="15" t="s">
        <v>114</v>
      </c>
      <c r="C534" s="15" t="s">
        <v>1228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3" t="str">
        <f t="shared" si="8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1229</v>
      </c>
      <c r="B535" s="13" t="s">
        <v>275</v>
      </c>
      <c r="C535" s="13" t="s">
        <v>1230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 t="str">
        <f t="shared" si="8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1231</v>
      </c>
      <c r="B536" s="15" t="s">
        <v>59</v>
      </c>
      <c r="C536" s="15" t="s">
        <v>1232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3" t="str">
        <f t="shared" si="8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1233</v>
      </c>
      <c r="B537" s="13" t="s">
        <v>187</v>
      </c>
      <c r="C537" s="13" t="s">
        <v>1234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 t="str">
        <f t="shared" si="8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1235</v>
      </c>
      <c r="B538" s="15" t="s">
        <v>133</v>
      </c>
      <c r="C538" s="15" t="s">
        <v>1236</v>
      </c>
      <c r="D538" s="15" t="s">
        <v>155</v>
      </c>
      <c r="E538" s="15" t="s">
        <v>62</v>
      </c>
      <c r="F538" s="15"/>
      <c r="G538" s="15"/>
      <c r="H538" s="16"/>
      <c r="I538" s="15"/>
      <c r="J538" s="15"/>
      <c r="K538" s="13" t="str">
        <f t="shared" si="8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1237</v>
      </c>
      <c r="B539" s="13" t="s">
        <v>147</v>
      </c>
      <c r="C539" s="13" t="s">
        <v>1238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 t="str">
        <f t="shared" si="8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1239</v>
      </c>
      <c r="B540" s="15" t="s">
        <v>114</v>
      </c>
      <c r="C540" s="15" t="s">
        <v>1240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3" t="str">
        <f t="shared" si="8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1241</v>
      </c>
      <c r="B541" s="13" t="s">
        <v>359</v>
      </c>
      <c r="C541" s="13" t="s">
        <v>1242</v>
      </c>
      <c r="D541" s="13" t="s">
        <v>61</v>
      </c>
      <c r="E541" s="13" t="s">
        <v>62</v>
      </c>
      <c r="F541" s="13"/>
      <c r="G541" s="13"/>
      <c r="H541" s="14"/>
      <c r="I541" s="13"/>
      <c r="J541" s="13"/>
      <c r="K541" s="13" t="str">
        <f t="shared" si="8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1243</v>
      </c>
      <c r="B542" s="15" t="s">
        <v>128</v>
      </c>
      <c r="C542" s="15" t="s">
        <v>1244</v>
      </c>
      <c r="D542" s="15" t="s">
        <v>61</v>
      </c>
      <c r="E542" s="15" t="s">
        <v>156</v>
      </c>
      <c r="F542" s="15">
        <v>270</v>
      </c>
      <c r="G542" t="s">
        <v>1510</v>
      </c>
      <c r="H542" s="16">
        <v>45782</v>
      </c>
      <c r="I542" s="15"/>
      <c r="J542" s="15"/>
      <c r="K542" s="13" t="str">
        <f t="shared" si="8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1245</v>
      </c>
      <c r="B543" s="13" t="s">
        <v>163</v>
      </c>
      <c r="C543" s="13" t="s">
        <v>1246</v>
      </c>
      <c r="D543" s="13" t="s">
        <v>155</v>
      </c>
      <c r="E543" s="13" t="s">
        <v>62</v>
      </c>
      <c r="F543" s="13"/>
      <c r="G543" s="13"/>
      <c r="H543" s="14"/>
      <c r="I543" s="13"/>
      <c r="J543" s="13"/>
      <c r="K543" s="13" t="str">
        <f t="shared" si="8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1247</v>
      </c>
      <c r="B544" s="15" t="s">
        <v>275</v>
      </c>
      <c r="C544" s="15" t="s">
        <v>1248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3" t="str">
        <f t="shared" si="8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1249</v>
      </c>
      <c r="B545" s="13" t="s">
        <v>74</v>
      </c>
      <c r="C545" s="13" t="s">
        <v>1250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 t="str">
        <f t="shared" si="8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1251</v>
      </c>
      <c r="B546" s="15" t="s">
        <v>64</v>
      </c>
      <c r="C546" s="15" t="s">
        <v>1252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3" t="str">
        <f t="shared" si="8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1253</v>
      </c>
      <c r="B547" s="13" t="s">
        <v>194</v>
      </c>
      <c r="C547" s="13" t="s">
        <v>1254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 t="str">
        <f t="shared" si="8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1255</v>
      </c>
      <c r="B548" s="15" t="s">
        <v>71</v>
      </c>
      <c r="C548" s="15" t="s">
        <v>1256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3" t="str">
        <f t="shared" si="8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1257</v>
      </c>
      <c r="B549" s="13" t="s">
        <v>114</v>
      </c>
      <c r="C549" s="13" t="s">
        <v>1258</v>
      </c>
      <c r="D549" s="13" t="s">
        <v>66</v>
      </c>
      <c r="E549" s="13" t="s">
        <v>101</v>
      </c>
      <c r="F549" s="13"/>
      <c r="G549" s="13" t="s">
        <v>1411</v>
      </c>
      <c r="H549" s="14">
        <v>42919</v>
      </c>
      <c r="I549" s="13"/>
      <c r="J549" s="13"/>
      <c r="K549" s="13" t="str">
        <f t="shared" si="8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1259</v>
      </c>
      <c r="B550" s="15" t="s">
        <v>114</v>
      </c>
      <c r="C550" s="15" t="s">
        <v>1260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3" t="str">
        <f t="shared" si="8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1261</v>
      </c>
      <c r="B551" s="13" t="s">
        <v>128</v>
      </c>
      <c r="C551" s="13" t="s">
        <v>1262</v>
      </c>
      <c r="D551" s="13" t="s">
        <v>61</v>
      </c>
      <c r="E551" s="13" t="s">
        <v>79</v>
      </c>
      <c r="F551" s="13">
        <v>88</v>
      </c>
      <c r="G551" t="s">
        <v>1511</v>
      </c>
      <c r="H551" s="14">
        <v>45116</v>
      </c>
      <c r="I551" s="13"/>
      <c r="J551" s="13"/>
      <c r="K551" s="13" t="str">
        <f t="shared" si="8"/>
        <v>https://en.wikipedia.org/wiki/Willingboro_Township,_New_Jersey</v>
      </c>
      <c r="L551" s="13" t="s">
        <v>1519</v>
      </c>
      <c r="M551" s="13" t="s">
        <v>1264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1519</v>
      </c>
      <c r="AG551" s="13" t="s">
        <v>1520</v>
      </c>
      <c r="AH551" s="13"/>
      <c r="AI551" s="13"/>
      <c r="AJ551" s="13"/>
      <c r="AK551" s="13"/>
      <c r="AL551" s="13" t="s">
        <v>1263</v>
      </c>
      <c r="AM551" s="13" t="s">
        <v>1264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1265</v>
      </c>
      <c r="B552" s="15" t="s">
        <v>163</v>
      </c>
      <c r="C552" s="15" t="s">
        <v>1266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3" t="str">
        <f t="shared" si="8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1267</v>
      </c>
      <c r="B553" s="13" t="s">
        <v>109</v>
      </c>
      <c r="C553" s="13" t="s">
        <v>1268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 t="str">
        <f t="shared" si="8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1269</v>
      </c>
      <c r="B554" s="15" t="s">
        <v>74</v>
      </c>
      <c r="C554" s="15" t="s">
        <v>1270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3" t="str">
        <f t="shared" si="8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1271</v>
      </c>
      <c r="B555" s="13" t="s">
        <v>114</v>
      </c>
      <c r="C555" s="13" t="s">
        <v>1272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 t="str">
        <f t="shared" si="8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1273</v>
      </c>
      <c r="B556" s="15" t="s">
        <v>250</v>
      </c>
      <c r="C556" s="15" t="s">
        <v>1274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3" t="str">
        <f t="shared" si="8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1275</v>
      </c>
      <c r="B557" s="13" t="s">
        <v>275</v>
      </c>
      <c r="C557" s="13" t="s">
        <v>1276</v>
      </c>
      <c r="D557" s="13" t="s">
        <v>66</v>
      </c>
      <c r="E557" s="13" t="s">
        <v>156</v>
      </c>
      <c r="F557" s="13">
        <v>187</v>
      </c>
      <c r="G557" t="s">
        <v>1481</v>
      </c>
      <c r="H557" s="14">
        <v>45396</v>
      </c>
      <c r="I557" s="13"/>
      <c r="J557" s="13"/>
      <c r="K557" s="13" t="str">
        <f t="shared" si="8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1277</v>
      </c>
      <c r="B558" s="15" t="s">
        <v>275</v>
      </c>
      <c r="C558" s="15" t="s">
        <v>1278</v>
      </c>
      <c r="D558" s="15" t="s">
        <v>76</v>
      </c>
      <c r="E558" s="15" t="s">
        <v>156</v>
      </c>
      <c r="F558" s="15">
        <v>280</v>
      </c>
      <c r="G558" t="s">
        <v>1482</v>
      </c>
      <c r="H558" s="16">
        <v>45937</v>
      </c>
      <c r="I558" s="15"/>
      <c r="J558" s="15"/>
      <c r="K558" s="13" t="str">
        <f t="shared" si="8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1279</v>
      </c>
      <c r="B559" s="13" t="s">
        <v>74</v>
      </c>
      <c r="C559" s="13" t="s">
        <v>1280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 t="str">
        <f t="shared" si="8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1281</v>
      </c>
      <c r="B560" s="15" t="s">
        <v>128</v>
      </c>
      <c r="C560" s="15" t="s">
        <v>1282</v>
      </c>
      <c r="D560" s="15" t="s">
        <v>61</v>
      </c>
      <c r="E560" s="15" t="s">
        <v>156</v>
      </c>
      <c r="F560" s="15">
        <v>242</v>
      </c>
      <c r="G560" t="s">
        <v>1512</v>
      </c>
      <c r="H560" s="16">
        <v>45584</v>
      </c>
      <c r="I560" s="15"/>
      <c r="J560" s="15"/>
      <c r="K560" s="13" t="str">
        <f t="shared" si="8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1283</v>
      </c>
      <c r="B561" s="13" t="s">
        <v>187</v>
      </c>
      <c r="C561" s="13" t="s">
        <v>1284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 t="str">
        <f t="shared" si="8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1285</v>
      </c>
      <c r="B562" s="15" t="s">
        <v>109</v>
      </c>
      <c r="C562" s="15" t="s">
        <v>1286</v>
      </c>
      <c r="D562" s="15" t="s">
        <v>76</v>
      </c>
      <c r="E562" s="15" t="s">
        <v>156</v>
      </c>
      <c r="F562" s="15">
        <v>268</v>
      </c>
      <c r="G562" s="15"/>
      <c r="H562" s="16">
        <v>45768</v>
      </c>
      <c r="I562" s="15"/>
      <c r="J562" s="15"/>
      <c r="K562" s="13" t="str">
        <f t="shared" si="8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1287</v>
      </c>
      <c r="B563" s="13" t="s">
        <v>87</v>
      </c>
      <c r="C563" s="13" t="s">
        <v>1288</v>
      </c>
      <c r="D563" s="13" t="s">
        <v>76</v>
      </c>
      <c r="E563" s="13" t="s">
        <v>156</v>
      </c>
      <c r="F563" s="13">
        <v>221</v>
      </c>
      <c r="G563" t="s">
        <v>1493</v>
      </c>
      <c r="H563" s="14">
        <v>45521</v>
      </c>
      <c r="I563" s="13"/>
      <c r="J563" s="13"/>
      <c r="K563" s="13" t="str">
        <f t="shared" si="8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1289</v>
      </c>
      <c r="B564" s="15" t="s">
        <v>275</v>
      </c>
      <c r="C564" s="15" t="s">
        <v>1290</v>
      </c>
      <c r="D564" s="15" t="s">
        <v>61</v>
      </c>
      <c r="E564" s="15" t="s">
        <v>156</v>
      </c>
      <c r="F564" s="15">
        <v>157</v>
      </c>
      <c r="G564" t="s">
        <v>1483</v>
      </c>
      <c r="H564" s="16">
        <v>45283</v>
      </c>
      <c r="I564" s="15"/>
      <c r="J564" s="15"/>
      <c r="K564" s="13" t="str">
        <f t="shared" si="8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1291</v>
      </c>
      <c r="B565" s="13" t="s">
        <v>128</v>
      </c>
      <c r="C565" s="13" t="s">
        <v>1292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 t="str">
        <f t="shared" si="8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1293</v>
      </c>
      <c r="B566" s="15" t="s">
        <v>74</v>
      </c>
      <c r="C566" s="15" t="s">
        <v>1294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3" t="str">
        <f t="shared" si="8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9" t="s">
        <v>1295</v>
      </c>
      <c r="B1" s="80"/>
      <c r="C1" s="80"/>
      <c r="D1" s="80"/>
      <c r="E1" s="80"/>
    </row>
    <row r="2" spans="1:5" ht="18" customHeight="1" x14ac:dyDescent="0.2">
      <c r="A2" s="18" t="s">
        <v>1296</v>
      </c>
      <c r="B2" s="19" t="s">
        <v>1297</v>
      </c>
      <c r="C2" s="20" t="s">
        <v>1298</v>
      </c>
      <c r="D2" s="21" t="s">
        <v>1299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134</v>
      </c>
      <c r="C3" s="24">
        <f>A3-B3</f>
        <v>430</v>
      </c>
      <c r="D3" s="25" t="str">
        <f>IF(A3&gt;0,TEXT(B3/A3,"0.0%"),"0.0%")</f>
        <v>23.8%</v>
      </c>
    </row>
    <row r="4" spans="1:5" ht="10" customHeight="1" x14ac:dyDescent="0.2"/>
    <row r="5" spans="1:5" ht="18" customHeight="1" x14ac:dyDescent="0.2">
      <c r="A5" s="26" t="s">
        <v>1300</v>
      </c>
      <c r="B5" s="26" t="s">
        <v>1296</v>
      </c>
      <c r="C5" s="26" t="s">
        <v>1297</v>
      </c>
      <c r="D5" s="26" t="s">
        <v>1298</v>
      </c>
      <c r="E5" s="26" t="s">
        <v>1299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128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19</v>
      </c>
      <c r="D8" s="28">
        <f t="shared" si="0"/>
        <v>21</v>
      </c>
      <c r="E8" s="28" t="str">
        <f t="shared" si="1"/>
        <v>47.5%</v>
      </c>
    </row>
    <row r="9" spans="1:5" ht="15" customHeight="1" x14ac:dyDescent="0.2">
      <c r="A9" s="29" t="s">
        <v>109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9</v>
      </c>
      <c r="D9" s="30">
        <f t="shared" si="0"/>
        <v>27</v>
      </c>
      <c r="E9" s="30" t="str">
        <f t="shared" si="1"/>
        <v>25.0%</v>
      </c>
    </row>
    <row r="10" spans="1:5" ht="15" customHeight="1" x14ac:dyDescent="0.2">
      <c r="A10" s="27" t="s">
        <v>114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147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275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133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359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</v>
      </c>
      <c r="D16" s="28">
        <f t="shared" si="0"/>
        <v>11</v>
      </c>
      <c r="E16" s="28" t="str">
        <f t="shared" si="1"/>
        <v>8.3%</v>
      </c>
    </row>
    <row r="17" spans="1:5" ht="15" customHeight="1" x14ac:dyDescent="0.2">
      <c r="A17" s="29" t="s">
        <v>250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194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121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24</v>
      </c>
      <c r="D20" s="28">
        <f t="shared" si="0"/>
        <v>9</v>
      </c>
      <c r="E20" s="28" t="str">
        <f t="shared" si="1"/>
        <v>72.7%</v>
      </c>
    </row>
    <row r="21" spans="1:5" ht="15" customHeight="1" x14ac:dyDescent="0.2">
      <c r="A21" s="29" t="s">
        <v>187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144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163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COUNTIF(Data!B$3:B$602,"Atlantic")</f>
        <v>23</v>
      </c>
      <c r="C2" s="19" t="s">
        <v>1297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COUNTIF(Data!B$3:B$602,"Bergen")</f>
        <v>70</v>
      </c>
      <c r="C2" s="19" t="s">
        <v>1297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1298</v>
      </c>
      <c r="F2" s="33">
        <f>B2-D2</f>
        <v>69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COUNTIF(Data!B$3:B$602,"Burlington")</f>
        <v>40</v>
      </c>
      <c r="C2" s="19" t="s">
        <v>1297</v>
      </c>
      <c r="D2" s="32">
        <f>COUNTIFS(Data!B$3:B$602,"Burlington",Data!E3:E602,"visited")+COUNTIFS(Data!B$3:B$602,"Burlington",Data!E3:E602,"queued")+COUNTIFS(Data!B$3:B$602,"Burlington",Data!E3:E602,"pre-challenge")</f>
        <v>19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queued</v>
      </c>
      <c r="F8">
        <v>130</v>
      </c>
      <c r="G8" t="str">
        <v>Marcello's</v>
      </c>
      <c r="H8">
        <v>45221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>
        <v>0</v>
      </c>
      <c r="J21">
        <v>0</v>
      </c>
      <c r="K21" t="str">
        <v>https://en.wikipedia.org/wiki/Hainesport_Township,_New_Jersey</v>
      </c>
      <c r="L21" t="str">
        <v>NJ Town #115: Hainesport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>
        <v>0</v>
      </c>
      <c r="J28">
        <v>0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>
        <v>0</v>
      </c>
      <c r="J43">
        <v>0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COUNTIF(Data!B$3:B$602,"Camden")</f>
        <v>36</v>
      </c>
      <c r="C2" s="19" t="s">
        <v>1297</v>
      </c>
      <c r="D2" s="32">
        <f>COUNTIFS(Data!B$3:B$602,"Camden",Data!E3:E602,"visited")+COUNTIFS(Data!B$3:B$602,"Camden",Data!E3:E602,"queued")+COUNTIFS(Data!B$3:B$602,"Camden",Data!E3:E602,"pre-challenge")</f>
        <v>9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>
        <v>0</v>
      </c>
      <c r="H6">
        <v>46022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>
        <v>0</v>
      </c>
      <c r="H8">
        <v>45824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>
        <v>0</v>
      </c>
      <c r="H9">
        <v>45235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>
        <v>0</v>
      </c>
      <c r="H12">
        <v>45824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>
        <v>0</v>
      </c>
      <c r="H14">
        <v>45937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>
        <v>0</v>
      </c>
      <c r="H17">
        <v>45654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>
        <v>0</v>
      </c>
      <c r="H29">
        <v>46087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>
        <v>0</v>
      </c>
      <c r="H31">
        <v>45782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>
        <v>0</v>
      </c>
      <c r="H41">
        <v>45768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COUNTIF(Data!B$3:B$602,"Cape May")</f>
        <v>16</v>
      </c>
      <c r="C2" s="19" t="s">
        <v>1297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COUNTIF(Data!B$3:B$602,"Cumberland")</f>
        <v>14</v>
      </c>
      <c r="C2" s="19" t="s">
        <v>1297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1298</v>
      </c>
      <c r="F2" s="33">
        <f>B2-D2</f>
        <v>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COUNTIF(Data!B$3:B$602,"Essex")</f>
        <v>22</v>
      </c>
      <c r="C2" s="19" t="s">
        <v>1297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COUNTIF(Data!B$3:B$602,"Gloucester")</f>
        <v>24</v>
      </c>
      <c r="C2" s="19" t="s">
        <v>1297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1298</v>
      </c>
      <c r="F2" s="33">
        <f>B2-D2</f>
        <v>14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COUNTIF(Data!B$3:B$602,"Hudson")</f>
        <v>12</v>
      </c>
      <c r="C2" s="19" t="s">
        <v>1297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COUNTIF(Data!B$3:B$602,"Hunterdon")</f>
        <v>26</v>
      </c>
      <c r="C2" s="19" t="s">
        <v>1297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https://en.wikipedia.org/wiki/Raritan_Township,_Hunterdon_County,_New_Jersey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COUNTIF(Data!B$3:B$602,"Mercer")</f>
        <v>12</v>
      </c>
      <c r="C2" s="19" t="s">
        <v>1297</v>
      </c>
      <c r="D2" s="32">
        <f>COUNTIFS(Data!B$3:B$602,"Mercer",Data!E3:E602,"visited")+COUNTIFS(Data!B$3:B$602,"Mercer",Data!E3:E602,"queued")+COUNTIFS(Data!B$3:B$602,"Mercer",Data!E3:E602,"pre-challenge")</f>
        <v>1</v>
      </c>
      <c r="E2" s="20" t="s">
        <v>1298</v>
      </c>
      <c r="F2" s="33">
        <f>B2-D2</f>
        <v>11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https://en.wikipedia.org/wiki/Trenton,_New_Jersey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COUNTIF(Data!B$3:B$602,"Middlesex")</f>
        <v>25</v>
      </c>
      <c r="C2" s="19" t="s">
        <v>1297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COUNTIF(Data!B$3:B$602,"Monmouth")</f>
        <v>53</v>
      </c>
      <c r="C2" s="19" t="s">
        <v>1297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1298</v>
      </c>
      <c r="F2" s="33">
        <f>B2-D2</f>
        <v>44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COUNTIF(Data!B$3:B$602,"Morris")</f>
        <v>39</v>
      </c>
      <c r="C2" s="19" t="s">
        <v>1297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1298</v>
      </c>
      <c r="F2" s="33">
        <f>B2-D2</f>
        <v>39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 t="str">
        <v>B-Unos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COUNTIF(Data!B$3:B$602,"Ocean")</f>
        <v>33</v>
      </c>
      <c r="C2" s="19" t="s">
        <v>1297</v>
      </c>
      <c r="D2" s="32">
        <f>COUNTIFS(Data!B$3:B$602,"Ocean",Data!E3:E602,"visited")+COUNTIFS(Data!B$3:B$602,"Ocean",Data!E3:E602,"queued")+COUNTIFS(Data!B$3:B$602,"Ocean",Data!E3:E602,"pre-challenge")</f>
        <v>24</v>
      </c>
      <c r="E2" s="20" t="s">
        <v>1298</v>
      </c>
      <c r="F2" s="33">
        <f>B2-D2</f>
        <v>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queued</v>
      </c>
      <c r="F6">
        <v>227</v>
      </c>
      <c r="G6" t="str">
        <v>Sun Harbor Seafood &amp; Grill</v>
      </c>
      <c r="H6">
        <v>45535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queued</v>
      </c>
      <c r="F7">
        <v>218</v>
      </c>
      <c r="G7" t="str">
        <v>Mustache Bill's Diner</v>
      </c>
      <c r="H7">
        <v>45515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queued</v>
      </c>
      <c r="F8">
        <v>232</v>
      </c>
      <c r="G8" t="str">
        <v>The Grenville Restaurant &amp; Hotel</v>
      </c>
      <c r="H8">
        <v>45554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queued</v>
      </c>
      <c r="F9">
        <v>193</v>
      </c>
      <c r="G9" t="str">
        <v>Black Whale Bar &amp; Fish House</v>
      </c>
      <c r="H9">
        <v>45416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124</v>
      </c>
      <c r="G10" t="str">
        <v>Sand Castle Diner</v>
      </c>
      <c r="H10">
        <v>45214</v>
      </c>
      <c r="I10">
        <v>0</v>
      </c>
      <c r="J10">
        <v>0</v>
      </c>
      <c r="K10" t="str">
        <v>https://en.wikipedia.org/wiki/Beachwood,_New_Jersey</v>
      </c>
      <c r="L10" t="str">
        <v>NJ Town #124: Beachwood</v>
      </c>
      <c r="M10" t="str">
        <v>https://www.instagram.com/p/DRXTcRNEbbt/</v>
      </c>
      <c r="N10" t="str">
        <v>NJ Town #124: Bonus Town Trivia</v>
      </c>
      <c r="O10" t="str">
        <v>https://www.instagram.com/p/DRpKS1OES5O/?img_index=1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#124: Beachwood</v>
      </c>
      <c r="AG10" t="str">
        <v>https://www.facebook.com/reel/1543556009974817</v>
      </c>
      <c r="AH10" t="str">
        <v>NJ Town #124: Bonus Town Trivia</v>
      </c>
      <c r="AI10" t="str">
        <v>https://www.facebook.com/permalink.php?story_fbid=pfbid04dYD4JWGLk55bhtpT3ZBfwCubZPaQ6vyAMKrpzzZ6tjHvnetXEDh4RXSxpeLbb1bl&amp;id=61569640546791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queued</v>
      </c>
      <c r="F11">
        <v>219</v>
      </c>
      <c r="G11" t="str">
        <v>B2Bistro Waters Edge</v>
      </c>
      <c r="H11">
        <v>45520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100</v>
      </c>
      <c r="G12" t="str">
        <v>Chuck &amp; Maureen's Pig Roast</v>
      </c>
      <c r="H12">
        <v>45150</v>
      </c>
      <c r="I12">
        <v>0</v>
      </c>
      <c r="J12">
        <v>0</v>
      </c>
      <c r="K12" t="str">
        <v>https://en.wikipedia.org/wiki/Brick_Township,_New_Jersey</v>
      </c>
      <c r="L12" t="str">
        <v>NJ Town #100: Brick</v>
      </c>
      <c r="M12" t="str">
        <v>https://www.instagram.com/p/DFEijoOx9Ny/?img_index=1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#100: Brick</v>
      </c>
      <c r="AG12" t="str">
        <v>https://www.facebook.com/permalink.php?story_fbid=pfbid02w9s314etvQoYKDPekMmXYEFFUUNFUEB9HK2EudLNyNEJeJiHSBwgioLuX7tb5u9Bl&amp;id=61569640546791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queued</v>
      </c>
      <c r="F13">
        <v>164</v>
      </c>
      <c r="G13" t="str">
        <v>Calloway's Restaurant &amp; Bar</v>
      </c>
      <c r="H13">
        <v>45297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queued</v>
      </c>
      <c r="F14">
        <v>235</v>
      </c>
      <c r="G14" t="str">
        <v>Black Eyed Susan's Restaurant &amp; Tavern</v>
      </c>
      <c r="H14">
        <v>45564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pre-challenge</v>
      </c>
      <c r="F16">
        <v>0</v>
      </c>
      <c r="G16" t="str">
        <v>Great Adventure</v>
      </c>
      <c r="H16">
        <v>42666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107</v>
      </c>
      <c r="G17" t="str">
        <v>The Waterfront</v>
      </c>
      <c r="H17">
        <v>45160</v>
      </c>
      <c r="I17">
        <v>0</v>
      </c>
      <c r="J17">
        <v>0</v>
      </c>
      <c r="K17" t="str">
        <v>https://en.wikipedia.org/wiki/Lacey_Township,_New_Jersey</v>
      </c>
      <c r="L17" t="str">
        <v>NJ Town #107: Lacey</v>
      </c>
      <c r="M17" t="str">
        <v>https://www.instagram.com/p/DGgzwX1xdM0/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t="str">
        <v>NJ Town #107: Lacey</v>
      </c>
      <c r="AG17" t="str">
        <v>https://www.facebook.com/reel/1534430474612131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112</v>
      </c>
      <c r="G18" t="str">
        <v>Lakehurst Diner</v>
      </c>
      <c r="H18">
        <v>45173</v>
      </c>
      <c r="I18">
        <v>0</v>
      </c>
      <c r="J18">
        <v>0</v>
      </c>
      <c r="K18" t="str">
        <v>https://en.wikipedia.org/wiki/Lakehurst,_New_Jersey</v>
      </c>
      <c r="L18" t="str">
        <v>NJ Town #112: Lakehurst</v>
      </c>
      <c r="M18" t="str">
        <v>https://www.instagram.com/p/DJPaQCIR7RA/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t="str">
        <v>NJ Town #112: Lakehurst</v>
      </c>
      <c r="AG18" t="str">
        <v>https://fb.watch/Gj-LKnNvvM/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queued</v>
      </c>
      <c r="F19">
        <v>190</v>
      </c>
      <c r="G19" t="str">
        <v>Route 70 Diner</v>
      </c>
      <c r="H19">
        <v>45403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queued</v>
      </c>
      <c r="F25">
        <v>265</v>
      </c>
      <c r="G25" t="str">
        <v>Clemmy's</v>
      </c>
      <c r="H25">
        <v>45705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queued</v>
      </c>
      <c r="F26">
        <v>182</v>
      </c>
      <c r="G26" t="str">
        <v>Rosie's</v>
      </c>
      <c r="H26">
        <v>45359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125</v>
      </c>
      <c r="G27" t="str">
        <v>Roy Rogers</v>
      </c>
      <c r="H27">
        <v>45214</v>
      </c>
      <c r="I27">
        <v>0</v>
      </c>
      <c r="J27">
        <v>0</v>
      </c>
      <c r="K27" t="str">
        <v>https://en.wikipedia.org/wiki/Pine_Beach,_New_Jersey</v>
      </c>
      <c r="L27" t="str">
        <v>NJ Town #125: Pine Beach</v>
      </c>
      <c r="M27" t="str">
        <v>https://www.instagram.com/p/DR2SfdwkZFV/</v>
      </c>
      <c r="N27" t="str">
        <v>NJ Town #125: Bonus Town Trivia</v>
      </c>
      <c r="O27" t="str">
        <v>NJ Town #125: Bonus Town Trivia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t="str">
        <v>NJ Town #125: Pine Beach</v>
      </c>
      <c r="AG27" t="str">
        <v>https://www.facebook.com/reel/715304104525377</v>
      </c>
      <c r="AH27" t="str">
        <v>NJ Town #125: Bonus Town Trivia</v>
      </c>
      <c r="AI27" t="str">
        <v>https://www.facebook.com/permalink.php?story_fbid=pfbid02dSy8sDqV3KRKrcmMfT7s4QQSUhCRnP12C83dMQzEwsjnDrC7SD24WJSTw49wZ1Vl&amp;id=61569640546791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pre-challenge</v>
      </c>
      <c r="F28">
        <v>0</v>
      </c>
      <c r="G28" t="str">
        <v>Laurita Winery</v>
      </c>
      <c r="H28">
        <v>41938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101</v>
      </c>
      <c r="G29" t="str">
        <v>Tacoholics</v>
      </c>
      <c r="H29">
        <v>45150</v>
      </c>
      <c r="I29">
        <v>0</v>
      </c>
      <c r="J29">
        <v>0</v>
      </c>
      <c r="K29" t="str">
        <v>https://en.wikipedia.org/wiki/Point_Pleasant,_New_Jersey</v>
      </c>
      <c r="L29" t="str">
        <v>NJ Town #101: Point Pleasant Boro</v>
      </c>
      <c r="M29" t="str">
        <v>https://www.instagram.com/p/DFIsQgHRPJ9/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#101: Point Pleasant Boro</v>
      </c>
      <c r="AG29" t="str">
        <v>https://www.facebook.com/reel/1120284442713116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pre-challenge</v>
      </c>
      <c r="F30">
        <v>0</v>
      </c>
      <c r="G30" t="str">
        <v>The Shrimp Box</v>
      </c>
      <c r="H30">
        <v>43001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queued</v>
      </c>
      <c r="F32">
        <v>278</v>
      </c>
      <c r="G32" t="str">
        <v>The Sawmill</v>
      </c>
      <c r="H32">
        <v>45860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queued</v>
      </c>
      <c r="F33">
        <v>192</v>
      </c>
      <c r="G33" t="str">
        <v>LBI Table</v>
      </c>
      <c r="H33">
        <v>45416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queued</v>
      </c>
      <c r="F34">
        <v>165</v>
      </c>
      <c r="G34" t="str">
        <v>And It's Good Stuff</v>
      </c>
      <c r="H34">
        <v>45297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pre-challenge</v>
      </c>
      <c r="F37">
        <v>0</v>
      </c>
      <c r="G37" t="str">
        <v>Villa Amalfi</v>
      </c>
      <c r="H37">
        <v>42406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queued</v>
      </c>
      <c r="F38">
        <v>246</v>
      </c>
      <c r="G38" t="str">
        <v>Dockside Cafe</v>
      </c>
      <c r="H38">
        <v>45606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COUNTIF(Data!B$3:B$602,"Passaic")</f>
        <v>16</v>
      </c>
      <c r="C2" s="19" t="s">
        <v>1297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1298</v>
      </c>
      <c r="F2" s="33">
        <f>B2-D2</f>
        <v>16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COUNTIF(Data!B$3:B$602,"Salem")</f>
        <v>15</v>
      </c>
      <c r="C2" s="19" t="s">
        <v>1297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1298</v>
      </c>
      <c r="F2" s="33">
        <f>B2-D2</f>
        <v>5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COUNTIF(Data!B$3:B$602,"Somerset")</f>
        <v>21</v>
      </c>
      <c r="C2" s="19" t="s">
        <v>1297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COUNTIF(Data!B$3:B$602,"Sussex")</f>
        <v>24</v>
      </c>
      <c r="C2" s="19" t="s">
        <v>1297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1298</v>
      </c>
      <c r="F2" s="33">
        <f>B2-D2</f>
        <v>22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1320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COUNTIF(Data!B$3:B$602,"Union")</f>
        <v>21</v>
      </c>
      <c r="C2" s="19" t="s">
        <v>1297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https://en.wikipedia.org/wiki/Union_Township,_Union_County,_New_Jersey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1321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COUNTIF(Data!B$3:B$602,"Warren")</f>
        <v>22</v>
      </c>
      <c r="C2" s="19" t="s">
        <v>1297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2" t="s">
        <v>1322</v>
      </c>
      <c r="B2" s="80"/>
      <c r="C2" s="80"/>
    </row>
    <row r="4" spans="1:3" ht="20" customHeight="1" x14ac:dyDescent="0.2">
      <c r="A4" s="82" t="s">
        <v>1323</v>
      </c>
      <c r="B4" s="80"/>
      <c r="C4" s="80"/>
    </row>
    <row r="5" spans="1:3" x14ac:dyDescent="0.2">
      <c r="A5" s="34" t="s">
        <v>62</v>
      </c>
      <c r="B5" s="35"/>
      <c r="C5" s="36" t="s">
        <v>1324</v>
      </c>
    </row>
    <row r="6" spans="1:3" x14ac:dyDescent="0.2">
      <c r="A6" s="34" t="s">
        <v>79</v>
      </c>
      <c r="B6" s="35"/>
      <c r="C6" s="36" t="s">
        <v>1325</v>
      </c>
    </row>
    <row r="7" spans="1:3" x14ac:dyDescent="0.2">
      <c r="A7" s="34" t="s">
        <v>156</v>
      </c>
      <c r="B7" s="35"/>
      <c r="C7" s="36" t="s">
        <v>1326</v>
      </c>
    </row>
    <row r="8" spans="1:3" x14ac:dyDescent="0.2">
      <c r="A8" s="34" t="s">
        <v>101</v>
      </c>
      <c r="B8" s="35"/>
      <c r="C8" s="36" t="s">
        <v>1327</v>
      </c>
    </row>
    <row r="10" spans="1:3" ht="20" customHeight="1" x14ac:dyDescent="0.2">
      <c r="A10" s="82" t="s">
        <v>1328</v>
      </c>
      <c r="B10" s="80"/>
      <c r="C10" s="80"/>
    </row>
    <row r="11" spans="1:3" ht="16" customHeight="1" x14ac:dyDescent="0.2">
      <c r="A11" s="37" t="s">
        <v>1329</v>
      </c>
      <c r="B11" s="38"/>
      <c r="C11" s="39" t="s">
        <v>1330</v>
      </c>
    </row>
    <row r="12" spans="1:3" ht="16" customHeight="1" x14ac:dyDescent="0.2">
      <c r="A12" s="37" t="s">
        <v>1331</v>
      </c>
      <c r="B12" s="38"/>
      <c r="C12" s="39" t="s">
        <v>1332</v>
      </c>
    </row>
    <row r="13" spans="1:3" ht="16" customHeight="1" x14ac:dyDescent="0.2">
      <c r="A13" s="37" t="s">
        <v>1333</v>
      </c>
      <c r="B13" s="38"/>
      <c r="C13" s="39" t="s">
        <v>1334</v>
      </c>
    </row>
    <row r="14" spans="1:3" ht="16" customHeight="1" x14ac:dyDescent="0.2">
      <c r="A14" s="37" t="s">
        <v>1335</v>
      </c>
      <c r="B14" s="38"/>
      <c r="C14" s="39" t="s">
        <v>1336</v>
      </c>
    </row>
    <row r="15" spans="1:3" ht="16" customHeight="1" x14ac:dyDescent="0.2">
      <c r="A15" s="37" t="s">
        <v>1337</v>
      </c>
      <c r="B15" s="38"/>
      <c r="C15" s="39" t="s">
        <v>1338</v>
      </c>
    </row>
    <row r="16" spans="1:3" ht="16" customHeight="1" x14ac:dyDescent="0.2">
      <c r="A16" s="37" t="s">
        <v>1337</v>
      </c>
      <c r="B16" s="38"/>
      <c r="C16" s="39" t="s">
        <v>1339</v>
      </c>
    </row>
    <row r="18" spans="1:3" ht="20" customHeight="1" x14ac:dyDescent="0.2">
      <c r="A18" s="82" t="s">
        <v>1340</v>
      </c>
      <c r="B18" s="80"/>
      <c r="C18" s="80"/>
    </row>
    <row r="19" spans="1:3" ht="14" customHeight="1" x14ac:dyDescent="0.2">
      <c r="A19" s="40" t="s">
        <v>11</v>
      </c>
      <c r="B19" s="40" t="s">
        <v>1341</v>
      </c>
      <c r="C19" s="41" t="s">
        <v>1342</v>
      </c>
    </row>
    <row r="20" spans="1:3" ht="14" customHeight="1" x14ac:dyDescent="0.2">
      <c r="A20" s="40" t="s">
        <v>12</v>
      </c>
      <c r="B20" s="40" t="s">
        <v>1343</v>
      </c>
      <c r="C20" s="41" t="s">
        <v>1344</v>
      </c>
    </row>
    <row r="21" spans="1:3" ht="14" customHeight="1" x14ac:dyDescent="0.2">
      <c r="A21" s="40" t="s">
        <v>13</v>
      </c>
      <c r="B21" s="40" t="s">
        <v>1343</v>
      </c>
      <c r="C21" s="41" t="s">
        <v>1345</v>
      </c>
    </row>
    <row r="22" spans="1:3" ht="14" customHeight="1" x14ac:dyDescent="0.2">
      <c r="A22" s="40" t="s">
        <v>14</v>
      </c>
      <c r="B22" s="40" t="s">
        <v>1346</v>
      </c>
      <c r="C22" s="41" t="s">
        <v>1347</v>
      </c>
    </row>
    <row r="23" spans="1:3" ht="14" customHeight="1" x14ac:dyDescent="0.2">
      <c r="A23" s="42" t="s">
        <v>15</v>
      </c>
      <c r="B23" s="42" t="s">
        <v>1348</v>
      </c>
      <c r="C23" s="43" t="s">
        <v>1349</v>
      </c>
    </row>
    <row r="24" spans="1:3" ht="14" customHeight="1" x14ac:dyDescent="0.2">
      <c r="A24" s="42" t="s">
        <v>16</v>
      </c>
      <c r="B24" s="42" t="s">
        <v>1346</v>
      </c>
      <c r="C24" s="43" t="s">
        <v>1350</v>
      </c>
    </row>
    <row r="25" spans="1:3" ht="14" customHeight="1" x14ac:dyDescent="0.2">
      <c r="A25" s="42" t="s">
        <v>17</v>
      </c>
      <c r="B25" s="42" t="s">
        <v>1351</v>
      </c>
      <c r="C25" s="43" t="s">
        <v>1352</v>
      </c>
    </row>
    <row r="26" spans="1:3" ht="14" customHeight="1" x14ac:dyDescent="0.2">
      <c r="A26" s="42" t="s">
        <v>18</v>
      </c>
      <c r="B26" s="42" t="s">
        <v>1346</v>
      </c>
      <c r="C26" s="43" t="s">
        <v>1353</v>
      </c>
    </row>
    <row r="27" spans="1:3" ht="14" customHeight="1" x14ac:dyDescent="0.2">
      <c r="A27" s="44" t="s">
        <v>19</v>
      </c>
      <c r="B27" s="44" t="s">
        <v>1354</v>
      </c>
      <c r="C27" s="45" t="s">
        <v>1355</v>
      </c>
    </row>
    <row r="28" spans="1:3" ht="14" customHeight="1" x14ac:dyDescent="0.2">
      <c r="A28" s="44" t="s">
        <v>20</v>
      </c>
      <c r="B28" s="44" t="s">
        <v>1356</v>
      </c>
      <c r="C28" s="45" t="s">
        <v>1357</v>
      </c>
    </row>
    <row r="29" spans="1:3" ht="14" customHeight="1" x14ac:dyDescent="0.2">
      <c r="A29" s="46" t="s">
        <v>21</v>
      </c>
      <c r="B29" s="46" t="s">
        <v>1356</v>
      </c>
      <c r="C29" s="47" t="s">
        <v>1358</v>
      </c>
    </row>
    <row r="30" spans="1:3" ht="14" customHeight="1" x14ac:dyDescent="0.2">
      <c r="A30" s="48" t="s">
        <v>22</v>
      </c>
      <c r="B30" s="48" t="s">
        <v>1354</v>
      </c>
      <c r="C30" s="49" t="s">
        <v>1359</v>
      </c>
    </row>
    <row r="31" spans="1:3" ht="14" customHeight="1" x14ac:dyDescent="0.2">
      <c r="A31" s="48" t="s">
        <v>23</v>
      </c>
      <c r="B31" s="48" t="s">
        <v>1356</v>
      </c>
      <c r="C31" s="49" t="s">
        <v>1360</v>
      </c>
    </row>
    <row r="32" spans="1:3" ht="14" customHeight="1" x14ac:dyDescent="0.2">
      <c r="A32" s="48" t="s">
        <v>24</v>
      </c>
      <c r="B32" s="48" t="s">
        <v>1354</v>
      </c>
      <c r="C32" s="49" t="s">
        <v>1361</v>
      </c>
    </row>
    <row r="33" spans="1:3" ht="14" customHeight="1" x14ac:dyDescent="0.2">
      <c r="A33" s="48" t="s">
        <v>25</v>
      </c>
      <c r="B33" s="48" t="s">
        <v>1356</v>
      </c>
      <c r="C33" s="49" t="s">
        <v>1362</v>
      </c>
    </row>
    <row r="34" spans="1:3" ht="14" customHeight="1" x14ac:dyDescent="0.2">
      <c r="A34" s="50" t="s">
        <v>26</v>
      </c>
      <c r="B34" s="50" t="s">
        <v>1354</v>
      </c>
      <c r="C34" s="51" t="s">
        <v>1363</v>
      </c>
    </row>
    <row r="35" spans="1:3" ht="14" customHeight="1" x14ac:dyDescent="0.2">
      <c r="A35" s="50" t="s">
        <v>27</v>
      </c>
      <c r="B35" s="50" t="s">
        <v>1356</v>
      </c>
      <c r="C35" s="51" t="s">
        <v>1364</v>
      </c>
    </row>
    <row r="36" spans="1:3" ht="14" customHeight="1" x14ac:dyDescent="0.2">
      <c r="A36" s="50" t="s">
        <v>28</v>
      </c>
      <c r="B36" s="50" t="s">
        <v>1354</v>
      </c>
      <c r="C36" s="51" t="s">
        <v>1365</v>
      </c>
    </row>
    <row r="37" spans="1:3" ht="14" customHeight="1" x14ac:dyDescent="0.2">
      <c r="A37" s="50" t="s">
        <v>29</v>
      </c>
      <c r="B37" s="50" t="s">
        <v>1356</v>
      </c>
      <c r="C37" s="51" t="s">
        <v>1366</v>
      </c>
    </row>
    <row r="38" spans="1:3" ht="14" customHeight="1" x14ac:dyDescent="0.2">
      <c r="A38" s="52" t="s">
        <v>30</v>
      </c>
      <c r="B38" s="52" t="s">
        <v>1354</v>
      </c>
      <c r="C38" s="53" t="s">
        <v>1367</v>
      </c>
    </row>
    <row r="39" spans="1:3" ht="14" customHeight="1" x14ac:dyDescent="0.2">
      <c r="A39" s="52" t="s">
        <v>31</v>
      </c>
      <c r="B39" s="52" t="s">
        <v>1356</v>
      </c>
      <c r="C39" s="53" t="s">
        <v>1368</v>
      </c>
    </row>
    <row r="40" spans="1:3" ht="14" customHeight="1" x14ac:dyDescent="0.2">
      <c r="A40" s="52" t="s">
        <v>32</v>
      </c>
      <c r="B40" s="52" t="s">
        <v>1354</v>
      </c>
      <c r="C40" s="53" t="s">
        <v>1369</v>
      </c>
    </row>
    <row r="41" spans="1:3" ht="14" customHeight="1" x14ac:dyDescent="0.2">
      <c r="A41" s="52" t="s">
        <v>33</v>
      </c>
      <c r="B41" s="52" t="s">
        <v>1356</v>
      </c>
      <c r="C41" s="53" t="s">
        <v>1370</v>
      </c>
    </row>
    <row r="42" spans="1:3" ht="14" customHeight="1" x14ac:dyDescent="0.2">
      <c r="A42" s="54" t="s">
        <v>34</v>
      </c>
      <c r="B42" s="54" t="s">
        <v>1354</v>
      </c>
      <c r="C42" s="55" t="s">
        <v>1371</v>
      </c>
    </row>
    <row r="43" spans="1:3" ht="14" customHeight="1" x14ac:dyDescent="0.2">
      <c r="A43" s="54" t="s">
        <v>35</v>
      </c>
      <c r="B43" s="54" t="s">
        <v>1356</v>
      </c>
      <c r="C43" s="55" t="s">
        <v>1372</v>
      </c>
    </row>
    <row r="44" spans="1:3" ht="14" customHeight="1" x14ac:dyDescent="0.2">
      <c r="A44" s="54" t="s">
        <v>36</v>
      </c>
      <c r="B44" s="54" t="s">
        <v>1354</v>
      </c>
      <c r="C44" s="55" t="s">
        <v>1373</v>
      </c>
    </row>
    <row r="45" spans="1:3" ht="14" customHeight="1" x14ac:dyDescent="0.2">
      <c r="A45" s="54" t="s">
        <v>37</v>
      </c>
      <c r="B45" s="54" t="s">
        <v>1356</v>
      </c>
      <c r="C45" s="55" t="s">
        <v>1374</v>
      </c>
    </row>
    <row r="46" spans="1:3" ht="14" customHeight="1" x14ac:dyDescent="0.2">
      <c r="A46" s="56" t="s">
        <v>38</v>
      </c>
      <c r="B46" s="56" t="s">
        <v>1354</v>
      </c>
      <c r="C46" s="57" t="s">
        <v>1375</v>
      </c>
    </row>
    <row r="47" spans="1:3" ht="14" customHeight="1" x14ac:dyDescent="0.2">
      <c r="A47" s="56" t="s">
        <v>39</v>
      </c>
      <c r="B47" s="56" t="s">
        <v>1356</v>
      </c>
      <c r="C47" s="57" t="s">
        <v>1376</v>
      </c>
    </row>
    <row r="48" spans="1:3" ht="14" customHeight="1" x14ac:dyDescent="0.2">
      <c r="A48" s="56" t="s">
        <v>40</v>
      </c>
      <c r="B48" s="56" t="s">
        <v>1354</v>
      </c>
      <c r="C48" s="57" t="s">
        <v>1377</v>
      </c>
    </row>
    <row r="49" spans="1:3" ht="14" customHeight="1" x14ac:dyDescent="0.2">
      <c r="A49" s="56" t="s">
        <v>41</v>
      </c>
      <c r="B49" s="56" t="s">
        <v>1356</v>
      </c>
      <c r="C49" s="57" t="s">
        <v>1378</v>
      </c>
    </row>
    <row r="50" spans="1:3" ht="14" customHeight="1" x14ac:dyDescent="0.2">
      <c r="A50" s="58" t="s">
        <v>42</v>
      </c>
      <c r="B50" s="58" t="s">
        <v>1354</v>
      </c>
      <c r="C50" s="59" t="s">
        <v>1379</v>
      </c>
    </row>
    <row r="51" spans="1:3" ht="14" customHeight="1" x14ac:dyDescent="0.2">
      <c r="A51" s="58" t="s">
        <v>43</v>
      </c>
      <c r="B51" s="58" t="s">
        <v>1356</v>
      </c>
      <c r="C51" s="59" t="s">
        <v>1380</v>
      </c>
    </row>
    <row r="52" spans="1:3" ht="14" customHeight="1" x14ac:dyDescent="0.2">
      <c r="A52" s="58" t="s">
        <v>44</v>
      </c>
      <c r="B52" s="58" t="s">
        <v>1354</v>
      </c>
      <c r="C52" s="59" t="s">
        <v>1381</v>
      </c>
    </row>
    <row r="53" spans="1:3" ht="14" customHeight="1" x14ac:dyDescent="0.2">
      <c r="A53" s="58" t="s">
        <v>45</v>
      </c>
      <c r="B53" s="58" t="s">
        <v>1356</v>
      </c>
      <c r="C53" s="59" t="s">
        <v>1382</v>
      </c>
    </row>
    <row r="54" spans="1:3" ht="14" customHeight="1" x14ac:dyDescent="0.2">
      <c r="A54" s="60" t="s">
        <v>46</v>
      </c>
      <c r="B54" s="60" t="s">
        <v>1348</v>
      </c>
      <c r="C54" s="61" t="s">
        <v>1383</v>
      </c>
    </row>
    <row r="55" spans="1:3" ht="14" customHeight="1" x14ac:dyDescent="0.2">
      <c r="A55" s="60" t="s">
        <v>47</v>
      </c>
      <c r="B55" s="60" t="s">
        <v>1343</v>
      </c>
      <c r="C55" s="61" t="s">
        <v>1384</v>
      </c>
    </row>
    <row r="56" spans="1:3" ht="14" customHeight="1" x14ac:dyDescent="0.2">
      <c r="A56" s="60" t="s">
        <v>48</v>
      </c>
      <c r="B56" s="60" t="s">
        <v>1354</v>
      </c>
      <c r="C56" s="61" t="s">
        <v>1385</v>
      </c>
    </row>
    <row r="57" spans="1:3" ht="14" customHeight="1" x14ac:dyDescent="0.2">
      <c r="A57" s="60" t="s">
        <v>49</v>
      </c>
      <c r="B57" s="60" t="s">
        <v>1356</v>
      </c>
      <c r="C57" s="61" t="s">
        <v>1386</v>
      </c>
    </row>
    <row r="58" spans="1:3" ht="14" customHeight="1" x14ac:dyDescent="0.2">
      <c r="A58" s="60" t="s">
        <v>50</v>
      </c>
      <c r="B58" s="60" t="s">
        <v>1348</v>
      </c>
      <c r="C58" s="61" t="s">
        <v>1387</v>
      </c>
    </row>
    <row r="59" spans="1:3" ht="14" customHeight="1" x14ac:dyDescent="0.2">
      <c r="A59" s="60" t="s">
        <v>51</v>
      </c>
      <c r="B59" s="60" t="s">
        <v>1343</v>
      </c>
      <c r="C59" s="61" t="s">
        <v>1388</v>
      </c>
    </row>
    <row r="60" spans="1:3" ht="14" customHeight="1" x14ac:dyDescent="0.2">
      <c r="A60" s="60" t="s">
        <v>52</v>
      </c>
      <c r="B60" s="60" t="s">
        <v>1354</v>
      </c>
      <c r="C60" s="61" t="s">
        <v>1389</v>
      </c>
    </row>
    <row r="61" spans="1:3" ht="14" customHeight="1" x14ac:dyDescent="0.2">
      <c r="A61" s="60" t="s">
        <v>53</v>
      </c>
      <c r="B61" s="60" t="s">
        <v>1356</v>
      </c>
      <c r="C61" s="61" t="s">
        <v>1386</v>
      </c>
    </row>
    <row r="62" spans="1:3" ht="14" customHeight="1" x14ac:dyDescent="0.2">
      <c r="A62" s="60" t="s">
        <v>54</v>
      </c>
      <c r="B62" s="60" t="s">
        <v>1348</v>
      </c>
      <c r="C62" s="61" t="s">
        <v>1390</v>
      </c>
    </row>
    <row r="63" spans="1:3" ht="14" customHeight="1" x14ac:dyDescent="0.2">
      <c r="A63" s="60" t="s">
        <v>55</v>
      </c>
      <c r="B63" s="60" t="s">
        <v>1343</v>
      </c>
      <c r="C63" s="61" t="s">
        <v>1388</v>
      </c>
    </row>
    <row r="64" spans="1:3" ht="14" customHeight="1" x14ac:dyDescent="0.2">
      <c r="A64" s="60" t="s">
        <v>56</v>
      </c>
      <c r="B64" s="60" t="s">
        <v>1354</v>
      </c>
      <c r="C64" s="61" t="s">
        <v>1391</v>
      </c>
    </row>
    <row r="65" spans="1:3" ht="14" customHeight="1" x14ac:dyDescent="0.2">
      <c r="A65" s="60" t="s">
        <v>57</v>
      </c>
      <c r="B65" s="60" t="s">
        <v>1356</v>
      </c>
      <c r="C65" s="61" t="s">
        <v>1386</v>
      </c>
    </row>
    <row r="67" spans="1:3" ht="20" customHeight="1" x14ac:dyDescent="0.2">
      <c r="A67" s="82" t="s">
        <v>1392</v>
      </c>
      <c r="B67" s="80"/>
      <c r="C67" s="80"/>
    </row>
    <row r="68" spans="1:3" ht="16" customHeight="1" x14ac:dyDescent="0.2">
      <c r="A68" s="62" t="s">
        <v>1393</v>
      </c>
      <c r="B68" s="63"/>
      <c r="C68" s="64" t="s">
        <v>1394</v>
      </c>
    </row>
    <row r="69" spans="1:3" ht="16" customHeight="1" x14ac:dyDescent="0.2">
      <c r="A69" s="62" t="s">
        <v>1395</v>
      </c>
      <c r="B69" s="63"/>
      <c r="C69" s="64" t="s">
        <v>1396</v>
      </c>
    </row>
    <row r="70" spans="1:3" ht="16" customHeight="1" x14ac:dyDescent="0.2">
      <c r="A70" s="62" t="s">
        <v>1397</v>
      </c>
      <c r="B70" s="63"/>
      <c r="C70" s="64" t="s">
        <v>1398</v>
      </c>
    </row>
    <row r="71" spans="1:3" ht="16" customHeight="1" x14ac:dyDescent="0.2">
      <c r="A71" s="62" t="s">
        <v>1399</v>
      </c>
      <c r="B71" s="63"/>
      <c r="C71" s="64" t="s">
        <v>1400</v>
      </c>
    </row>
    <row r="72" spans="1:3" ht="16" customHeight="1" x14ac:dyDescent="0.2">
      <c r="A72" s="62" t="s">
        <v>1401</v>
      </c>
      <c r="B72" s="63"/>
      <c r="C72" s="64" t="s">
        <v>1402</v>
      </c>
    </row>
    <row r="73" spans="1:3" ht="16" customHeight="1" x14ac:dyDescent="0.2">
      <c r="A73" s="62" t="s">
        <v>1401</v>
      </c>
      <c r="B73" s="63"/>
      <c r="C73" s="64" t="s">
        <v>1403</v>
      </c>
    </row>
    <row r="74" spans="1:3" ht="16" customHeight="1" x14ac:dyDescent="0.2">
      <c r="A74" s="62" t="s">
        <v>1401</v>
      </c>
      <c r="B74" s="63"/>
      <c r="C74" s="64" t="s">
        <v>1404</v>
      </c>
    </row>
    <row r="75" spans="1:3" ht="16" customHeight="1" x14ac:dyDescent="0.2">
      <c r="A75" s="62" t="s">
        <v>1401</v>
      </c>
      <c r="B75" s="63"/>
      <c r="C75" s="64" t="s">
        <v>1405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2026-04-06T23:47:31Z</dcterms:modified>
</cp:coreProperties>
</file>