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9F2F71DA-AE44-C640-A05D-594A50C1A86E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8" i="1"/>
  <c r="K149" i="1"/>
  <c r="K150" i="1"/>
  <c r="K151" i="1"/>
  <c r="K152" i="1"/>
  <c r="K153" i="1"/>
  <c r="K154" i="1"/>
  <c r="K155" i="1"/>
  <c r="K156" i="1"/>
  <c r="K157" i="1"/>
  <c r="K158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5" i="1"/>
  <c r="K186" i="1"/>
  <c r="K187" i="1"/>
  <c r="K188" i="1"/>
  <c r="K189" i="1"/>
  <c r="K190" i="1"/>
  <c r="K191" i="1"/>
  <c r="K192" i="1"/>
  <c r="K193" i="1"/>
  <c r="K196" i="1"/>
  <c r="K199" i="1"/>
  <c r="K200" i="1"/>
  <c r="K201" i="1"/>
  <c r="K202" i="1"/>
  <c r="K203" i="1"/>
  <c r="K204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0" i="1"/>
  <c r="K231" i="1"/>
  <c r="A6" i="23" s="1" a="1"/>
  <c r="A6" i="23" s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5" i="1"/>
  <c r="K316" i="1"/>
  <c r="K317" i="1"/>
  <c r="K318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1" a="1"/>
  <c r="A6" i="21" s="1"/>
  <c r="A6" i="17" a="1"/>
  <c r="A6" i="17" s="1"/>
  <c r="A6" i="16" a="1"/>
  <c r="A6" i="16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A6" i="22" l="1" a="1"/>
  <c r="A6" i="22" s="1"/>
  <c r="A6" i="15" a="1"/>
  <c r="A6" i="15" s="1"/>
  <c r="A6" i="18" a="1"/>
  <c r="A6" i="18" s="1"/>
  <c r="A6" i="20" a="1"/>
  <c r="A6" i="20" s="1"/>
  <c r="A6" i="19" a="1"/>
  <c r="A6" i="19" s="1"/>
  <c r="E12" i="2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<sst xmlns="http://schemas.openxmlformats.org/spreadsheetml/2006/main" count="4746" uniqueCount="1590">
  <si>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</si>
  <si>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</si>
  <si>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</si>
  <si>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</si>
  <si>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</si>
  <si>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</si>
  <si>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</si>
  <si>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</si>
  <si>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</si>
  <si>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</si>
  <si>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</si>
  <si>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</si>
  <si>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</si>
  <si>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</si>
  <si>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</si>
  <si>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</si>
  <si>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</si>
  <si>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</si>
  <si>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</si>
  <si>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</si>
  <si>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</si>
  <si>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</si>
  <si>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</si>
  <si>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</si>
  <si>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</si>
  <si>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</si>
  <si>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</si>
  <si>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</si>
  <si>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</si>
  <si>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</si>
  <si>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</si>
  <si>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</si>
  <si>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</si>
  <si>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</si>
  <si>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</si>
  <si>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</si>
  <si>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</si>
  <si>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</si>
  <si>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</si>
  <si>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</si>
  <si>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</si>
  <si>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</si>
  <si>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</si>
  <si>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</si>
  <si>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</si>
  <si>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</si>
  <si>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</si>
  <si>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</si>
  <si>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</si>
  <si>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</si>
  <si>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</si>
  <si>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</si>
  <si>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</si>
  <si>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</si>
  <si>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</si>
  <si>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</si>
  <si>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</si>
  <si>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</si>
  <si>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</si>
  <si>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</si>
  <si>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</si>
  <si>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</si>
  <si>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</si>
  <si>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</si>
  <si>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</si>
  <si>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</si>
  <si>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</si>
  <si>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</si>
  <si>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</si>
  <si>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</si>
  <si>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</si>
  <si>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</si>
  <si>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</si>
  <si>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</si>
  <si>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</si>
  <si>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</si>
  <si>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</si>
  <si>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</si>
  <si>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</si>
  <si>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</si>
  <si>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</si>
  <si>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</si>
  <si>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</si>
  <si>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</si>
  <si>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</si>
  <si>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</si>
  <si>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</si>
  <si>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</si>
  <si>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</si>
  <si>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</si>
  <si>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</si>
  <si>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</si>
  <si>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</si>
  <si>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</si>
  <si>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</si>
  <si>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</si>
  <si>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</si>
  <si>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</si>
  <si>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</si>
  <si>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</si>
  <si>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</si>
  <si>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</si>
  <si>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</si>
  <si>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</si>
  <si>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</si>
  <si>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</si>
  <si>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</si>
  <si>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</si>
  <si>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</si>
  <si>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</si>
  <si>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</si>
  <si>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</si>
  <si>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</si>
  <si>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</si>
  <si>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</si>
  <si>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</si>
  <si>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</si>
  <si>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</si>
  <si>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</si>
  <si>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</si>
  <si>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</si>
  <si>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</si>
  <si>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</si>
  <si>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</si>
  <si>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</si>
  <si>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</si>
  <si>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</si>
  <si>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</si>
  <si>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</si>
  <si>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</si>
  <si>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</si>
  <si>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</si>
  <si>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</si>
  <si>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</si>
  <si>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</si>
  <si>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</si>
  <si>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</si>
  <si>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</si>
  <si>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</si>
  <si>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</si>
  <si>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</si>
  <si>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</si>
  <si>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</si>
  <si>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</si>
  <si>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</si>
  <si>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</si>
  <si>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</si>
  <si>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</si>
  <si>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</si>
  <si>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</si>
  <si>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</si>
  <si>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</si>
  <si>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</si>
  <si>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</si>
  <si>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</si>
  <si>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</si>
  <si>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</si>
  <si>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</si>
  <si>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</si>
  <si>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</si>
  <si>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</si>
  <si>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</si>
  <si>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</si>
  <si>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</si>
  <si>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</si>
  <si>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</si>
  <si>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</si>
  <si>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</si>
  <si>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</si>
  <si>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</si>
  <si>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</si>
  <si>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</si>
  <si>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</si>
  <si>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</si>
  <si>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</si>
  <si>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</si>
  <si>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</si>
  <si>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</si>
  <si>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</si>
  <si>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</si>
  <si>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</si>
  <si>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</si>
  <si>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</si>
  <si>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</si>
  <si>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</si>
  <si>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</si>
  <si>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</si>
  <si>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</si>
  <si>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</si>
  <si>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</si>
  <si>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</si>
  <si>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</si>
  <si>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</si>
  <si>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</si>
  <si>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</si>
  <si>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</si>
  <si>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</si>
  <si>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</si>
  <si>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</si>
  <si>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</si>
  <si>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</si>
  <si>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</si>
  <si>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</si>
  <si>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</si>
  <si>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</si>
  <si>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</si>
  <si>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</si>
  <si>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</si>
  <si>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</si>
  <si>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</si>
  <si>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</si>
  <si>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</si>
  <si>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</si>
  <si>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</si>
  <si>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</si>
  <si>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</si>
  <si>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</si>
  <si>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</si>
  <si>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</si>
  <si>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</si>
  <si>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</si>
  <si>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</si>
  <si>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</si>
  <si>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</si>
  <si>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</si>
  <si>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</si>
  <si>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</si>
  <si>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</si>
  <si>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</si>
  <si>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</si>
  <si>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</si>
  <si>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</si>
  <si>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</si>
  <si>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</si>
  <si>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</si>
  <si>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</si>
  <si>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</si>
  <si>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</si>
  <si>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</si>
  <si>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</si>
  <si>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</si>
  <si>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</si>
  <si>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</si>
  <si>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</si>
  <si>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</si>
  <si>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</si>
  <si>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</si>
  <si>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</si>
  <si>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</si>
  <si>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</si>
  <si>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</si>
  <si>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</si>
  <si>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</si>
  <si>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</si>
  <si>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</si>
  <si>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</si>
  <si>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</si>
  <si>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</si>
  <si>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</si>
  <si>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</si>
  <si>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</si>
  <si>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</si>
  <si>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</si>
  <si>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</si>
  <si>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</si>
  <si>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</si>
  <si>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</si>
  <si>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</si>
  <si>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</si>
  <si>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</si>
  <si>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</si>
  <si>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</si>
  <si>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</si>
  <si>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</si>
  <si>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</si>
  <si>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</si>
  <si>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</si>
  <si>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</si>
  <si>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</si>
  <si>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</si>
  <si>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</si>
  <si>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</si>
  <si>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</si>
  <si>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</si>
  <si>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</si>
  <si>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</si>
  <si>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</si>
  <si>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</si>
  <si>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</si>
  <si>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</si>
  <si>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</si>
  <si>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</si>
  <si>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</si>
  <si>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</si>
  <si>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</si>
  <si>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</si>
  <si>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</si>
  <si>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</si>
  <si>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</si>
  <si>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</si>
  <si>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</si>
  <si>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</si>
  <si>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</si>
  <si>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</si>
  <si>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</si>
  <si>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</si>
  <si>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</si>
  <si>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</si>
  <si>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</si>
  <si>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</si>
  <si>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</si>
  <si>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</si>
  <si>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</si>
  <si>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</si>
  <si>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</si>
  <si>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</si>
  <si>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</si>
  <si>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</si>
  <si>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</si>
  <si>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</si>
  <si>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</si>
  <si>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</si>
  <si>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</si>
  <si>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</si>
  <si>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</si>
  <si>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</si>
  <si>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</si>
  <si>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</si>
  <si>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</si>
  <si>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</si>
  <si>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</si>
  <si>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</si>
  <si>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</si>
  <si>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</si>
  <si>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</si>
  <si>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</si>
  <si>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</si>
  <si>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</si>
  <si>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</si>
  <si>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</si>
  <si>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</si>
  <si>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</si>
  <si>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</si>
  <si>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</si>
  <si>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</si>
  <si>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</si>
  <si>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</si>
  <si>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</si>
  <si>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</si>
  <si>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</si>
  <si>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</si>
  <si>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</si>
  <si>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</si>
  <si>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</si>
  <si>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</si>
  <si>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</si>
  <si>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</si>
  <si>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</si>
  <si>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</si>
  <si>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</si>
  <si>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</si>
  <si>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</si>
  <si>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</si>
  <si>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</si>
  <si>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</si>
  <si>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</si>
  <si>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</si>
  <si>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</si>
  <si>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</si>
  <si>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</si>
  <si>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</si>
  <si>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</si>
  <si>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</si>
  <si>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</si>
  <si>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</si>
  <si>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</si>
  <si>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</si>
  <si>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</si>
  <si>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</si>
  <si>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</si>
  <si>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</si>
  <si>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</si>
  <si>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</si>
  <si>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</si>
  <si>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</si>
  <si>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</si>
  <si>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</si>
  <si>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</si>
  <si>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</si>
  <si>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</si>
  <si>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</si>
  <si>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</si>
  <si>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</si>
  <si>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</si>
  <si>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</si>
  <si>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</si>
  <si>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</si>
  <si>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</si>
  <si>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</si>
  <si>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</si>
  <si>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</si>
  <si>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</si>
  <si>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</si>
  <si>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</si>
  <si>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</si>
  <si>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</si>
  <si>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</si>
  <si>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</si>
  <si>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</si>
  <si>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</si>
  <si>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</si>
  <si>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</si>
  <si>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</si>
  <si>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</si>
  <si>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</si>
  <si>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</si>
  <si>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</si>
  <si>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</si>
  <si>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</si>
  <si>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</si>
  <si>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</si>
  <si>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</si>
  <si>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</si>
  <si>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</si>
  <si>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</si>
  <si>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</si>
  <si>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</si>
  <si>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</si>
  <si>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</si>
  <si>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</si>
  <si>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</si>
  <si>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</si>
  <si>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</si>
  <si>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</si>
  <si>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</si>
  <si>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</si>
  <si>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</si>
  <si>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</si>
  <si>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</si>
  <si>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</si>
  <si>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</si>
  <si>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</si>
  <si>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</si>
  <si>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</si>
  <si>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</si>
  <si>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</si>
  <si>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</si>
  <si>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</si>
  <si>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</si>
  <si>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</si>
  <si>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</si>
  <si>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</si>
  <si>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</si>
  <si>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</si>
  <si>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</si>
  <si>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</si>
  <si>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</si>
  <si>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</si>
  <si>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</si>
  <si>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</si>
  <si>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</si>
  <si>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</si>
  <si>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</si>
  <si>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</si>
  <si>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</si>
  <si>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</si>
  <si>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</si>
  <si>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</si>
  <si>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</si>
  <si>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</si>
  <si>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</si>
  <si>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</si>
  <si>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</si>
  <si>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</si>
  <si>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</si>
  <si>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</si>
  <si>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</si>
  <si>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</si>
  <si>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</si>
  <si>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</si>
  <si>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</si>
  <si>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</si>
  <si>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</si>
  <si>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</si>
  <si>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</si>
  <si>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</si>
  <si>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</si>
  <si>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</si>
  <si>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</si>
  <si>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</si>
  <si>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</si>
  <si>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</si>
  <si>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</si>
  <si>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</si>
  <si>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</si>
  <si>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</si>
  <si>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</si>
  <si>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</si>
  <si>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</si>
  <si>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</si>
  <si>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</si>
  <si>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</si>
  <si>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</si>
  <si>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</si>
  <si>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</si>
  <si>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</si>
  <si>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</si>
  <si>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</si>
  <si>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</si>
  <si>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</si>
  <si>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</si>
  <si>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</si>
  <si>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</si>
  <si>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</si>
  <si>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</si>
  <si>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</si>
  <si>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</si>
  <si>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</si>
  <si>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</si>
  <si>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</si>
  <si>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</si>
  <si>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</si>
  <si>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</si>
  <si>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</si>
  <si>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</si>
  <si>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</si>
  <si>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</si>
  <si>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</si>
  <si>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</si>
  <si>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</si>
  <si>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</si>
  <si>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</si>
  <si>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</si>
  <si>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</si>
  <si>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</si>
  <si>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</si>
  <si>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</si>
  <si>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</si>
  <si>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</si>
  <si>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</si>
  <si>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</si>
  <si>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</si>
  <si>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</si>
  <si>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</si>
  <si>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</si>
  <si>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</si>
  <si>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</si>
  <si>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</si>
  <si>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</si>
  <si>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</si>
  <si>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</si>
  <si>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</si>
  <si>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</si>
  <si>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</si>
  <si>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</si>
  <si>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</si>
  <si>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</si>
  <si>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</si>
  <si>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</si>
  <si>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</si>
  <si>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</si>
  <si>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</si>
  <si>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</si>
  <si>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</si>
  <si>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</si>
  <si>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</si>
  <si>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</si>
  <si>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</si>
  <si>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</si>
  <si>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</si>
  <si>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</si>
  <si>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</si>
  <si>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</si>
  <si>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</si>
  <si>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</si>
  <si>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</si>
  <si>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</si>
  <si>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</si>
  <si>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</si>
  <si>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</si>
  <si>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</si>
  <si>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</si>
  <si>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</si>
  <si>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</si>
  <si>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</si>
  <si>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</si>
  <si>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</si>
  <si>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</si>
  <si>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</si>
  <si>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</si>
  <si>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</si>
  <si>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</si>
  <si>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</si>
  <si>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</si>
  <si>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</si>
  <si>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</si>
  <si>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</si>
  <si>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</si>
  <si>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</si>
  <si>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</si>
  <si>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</si>
  <si>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</si>
  <si>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</si>
  <si>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</si>
  <si>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</si>
  <si>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</si>
  <si>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</si>
  <si>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</si>
  <si>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</si>
  <si>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</si>
  <si>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</si>
  <si>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</si>
  <si>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</si>
  <si>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</si>
  <si>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</si>
  <si>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</si>
  <si>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</si>
  <si>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</si>
  <si>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</si>
  <si>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</si>
  <si>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</si>
  <si>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</si>
  <si>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</si>
  <si>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</si>
  <si>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</si>
  <si>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</si>
  <si>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</si>
  <si>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</si>
  <si>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</si>
  <si>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</si>
  <si>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</si>
  <si>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</si>
  <si>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</si>
  <si>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</si>
  <si>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</si>
  <si>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</si>
  <si>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</si>
  <si>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</si>
  <si>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</si>
  <si>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</si>
  <si>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</si>
  <si>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</si>
  <si>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</si>
  <si>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</si>
  <si>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</si>
  <si>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</si>
  <si>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</si>
  <si>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</si>
  <si>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</si>
  <si>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</si>
  <si>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</si>
  <si>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</si>
  <si>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</si>
  <si>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</si>
  <si>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</si>
  <si>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</si>
  <si>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</si>
  <si>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</si>
  <si>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</si>
  <si>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</si>
  <si>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</si>
  <si>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</si>
  <si>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</si>
  <si>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</si>
  <si>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</si>
  <si>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</si>
  <si>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</si>
  <si>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</si>
  <si>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</si>
  <si>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</si>
  <si>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</si>
  <si>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</si>
  <si>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</si>
  <si>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</si>
  <si>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</si>
  <si>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</si>
  <si>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</si>
  <si>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</si>
  <si>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</si>
  <si>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</si>
  <si>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</si>
  <si>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</si>
  <si>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</si>
  <si>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</si>
  <si>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</si>
  <si>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</si>
  <si>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</si>
  <si>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</si>
  <si>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</si>
  <si>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</si>
  <si>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</si>
  <si>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</si>
  <si>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</si>
  <si>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</si>
  <si>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</si>
  <si>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</si>
  <si>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</si>
  <si>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</si>
  <si>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</si>
  <si>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</si>
  <si>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</si>
  <si>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</si>
  <si>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</si>
  <si>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</si>
  <si>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</si>
  <si>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</si>
  <si>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</si>
  <si>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</si>
  <si>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</si>
  <si>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</si>
  <si>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</si>
  <si>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</si>
  <si>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</si>
  <si>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</si>
  <si>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</si>
  <si>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</si>
  <si>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</si>
  <si>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</si>
  <si>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</si>
  <si>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</si>
  <si>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</si>
  <si>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</si>
  <si>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</si>
  <si>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</si>
  <si>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</si>
  <si>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</si>
  <si>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</si>
  <si>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</si>
  <si>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</si>
  <si>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</si>
  <si>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</si>
  <si>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</si>
  <si>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</si>
  <si>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</si>
  <si>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</si>
  <si>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</si>
  <si>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</si>
  <si>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</si>
  <si>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</si>
  <si>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</si>
  <si>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</si>
  <si>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</si>
  <si>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</si>
  <si>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</si>
  <si>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</si>
  <si>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</si>
  <si>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</si>
  <si>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</si>
  <si>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</si>
  <si>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</si>
  <si>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</si>
  <si>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</si>
  <si>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</si>
  <si>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</si>
  <si>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</si>
  <si>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</si>
  <si>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</si>
  <si>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</si>
  <si>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</si>
  <si>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</si>
  <si>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</si>
  <si>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</si>
  <si>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</si>
  <si>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</si>
  <si>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</si>
  <si>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</si>
  <si>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</si>
  <si>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</si>
  <si>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</si>
  <si>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</si>
  <si>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</si>
  <si>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</si>
  <si>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</si>
  <si>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</si>
  <si>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</si>
  <si>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</si>
  <si>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</si>
  <si>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</si>
  <si>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</si>
  <si>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</si>
  <si>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</si>
  <si>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</si>
  <si>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</si>
  <si>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</si>
  <si>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</si>
  <si>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</si>
  <si>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</si>
  <si>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</si>
  <si>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</si>
  <si>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</si>
  <si>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</si>
  <si>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</si>
  <si>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</si>
  <si>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</si>
  <si>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</si>
  <si>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</si>
  <si>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</si>
  <si>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</si>
  <si>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</si>
  <si>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</si>
  <si>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</si>
  <si>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</si>
  <si>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</si>
  <si>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</si>
  <si>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</si>
  <si>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</si>
  <si>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</si>
  <si>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</si>
  <si>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</si>
  <si>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</si>
  <si>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</si>
  <si>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</si>
  <si>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</si>
  <si>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</si>
  <si>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</si>
  <si>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</si>
  <si>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</si>
  <si>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</si>
  <si>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</si>
  <si>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</si>
  <si>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</si>
  <si>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</si>
  <si>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</si>
  <si>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</si>
  <si>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</si>
  <si>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</si>
  <si>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</si>
  <si>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</si>
  <si>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</si>
  <si>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</si>
  <si>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</si>
  <si>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</si>
  <si>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</si>
  <si>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</si>
  <si>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</si>
  <si>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</si>
  <si>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</si>
  <si>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</si>
  <si>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</si>
  <si>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</si>
  <si>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</si>
  <si>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</si>
  <si>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</si>
  <si>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</si>
  <si>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</si>
  <si>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</si>
  <si>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</si>
  <si>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</si>
  <si>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</si>
  <si>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</si>
  <si>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</si>
  <si>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</si>
  <si>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</si>
  <si>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</si>
  <si>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</si>
  <si>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</si>
  <si>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</si>
  <si>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</si>
  <si>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</si>
  <si>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</si>
  <si>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</si>
  <si>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</si>
  <si>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</si>
  <si>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</si>
  <si>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</si>
  <si>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</si>
  <si>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</si>
  <si>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</si>
  <si>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</si>
  <si>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</si>
  <si>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</si>
  <si>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</si>
  <si>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</si>
  <si>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</si>
  <si>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</si>
  <si>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</si>
  <si>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</si>
  <si>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</si>
  <si>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</si>
  <si>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</si>
  <si>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</si>
  <si>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</si>
  <si>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</si>
  <si>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</si>
  <si>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</si>
  <si>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</si>
  <si>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</si>
  <si>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</si>
  <si>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</si>
  <si>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</si>
  <si>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</si>
  <si>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</si>
  <si>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</si>
  <si>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</si>
  <si>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</si>
  <si>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</si>
  <si>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</si>
  <si>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</si>
  <si>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</si>
  <si>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</si>
  <si>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</si>
  <si>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</si>
  <si>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</si>
  <si>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</si>
  <si>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</si>
  <si>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</si>
  <si>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</si>
  <si>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</si>
  <si>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</si>
  <si>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</si>
  <si>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</si>
  <si>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</si>
  <si>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</si>
  <si>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</si>
  <si>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</si>
  <si>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</si>
  <si>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</si>
  <si>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</si>
  <si>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</si>
  <si>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</si>
  <si>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</si>
  <si>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</si>
  <si>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</si>
  <si>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</si>
  <si>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</si>
  <si>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</si>
  <si>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</si>
  <si>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</si>
  <si>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</si>
  <si>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</si>
  <si>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</si>
  <si>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</si>
  <si>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</si>
  <si>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</si>
  <si>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</si>
  <si>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</si>
  <si>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</si>
  <si>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</si>
  <si>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</si>
  <si>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</si>
  <si>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</si>
  <si>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</si>
  <si>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</si>
  <si>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</si>
  <si>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</si>
  <si>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</si>
  <si>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</si>
  <si>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</si>
  <si>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</si>
  <si>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</si>
  <si>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</si>
  <si>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</si>
  <si>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</si>
  <si>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</si>
  <si>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</si>
  <si>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</si>
  <si>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</si>
  <si>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</si>
  <si>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</si>
  <si>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</si>
  <si>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</si>
  <si>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</si>
  <si>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</si>
  <si>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</si>
  <si>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</si>
  <si>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</si>
  <si>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</si>
  <si>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</si>
  <si>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</si>
  <si>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</si>
  <si>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</si>
  <si>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</si>
  <si>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</si>
  <si>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</si>
  <si>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</si>
  <si>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</si>
  <si>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</si>
  <si>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</si>
  <si>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</si>
  <si>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</si>
  <si>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</si>
  <si>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</si>
  <si>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</si>
  <si>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</si>
  <si>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</si>
  <si>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</si>
  <si>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</si>
  <si>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</si>
  <si>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</si>
  <si>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</si>
  <si>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</si>
  <si>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</si>
  <si>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</si>
  <si>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</si>
  <si>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</si>
  <si>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</si>
  <si>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</si>
  <si>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</si>
  <si>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</si>
  <si>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</si>
  <si>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</si>
  <si>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</si>
  <si>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</si>
  <si>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</si>
  <si>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</si>
  <si>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</si>
  <si>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</si>
  <si>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</si>
  <si>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</si>
  <si>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</si>
  <si>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</si>
  <si>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</si>
  <si>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</si>
  <si>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</si>
  <si>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</si>
  <si>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</si>
  <si>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</si>
  <si>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</si>
  <si>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</si>
  <si>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</si>
  <si>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</si>
  <si>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</si>
  <si>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</si>
  <si>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</si>
  <si>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</si>
  <si>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</si>
  <si>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</si>
  <si>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</si>
  <si>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</si>
  <si>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</si>
  <si>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</si>
  <si>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</si>
  <si>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</si>
  <si>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</si>
  <si>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</si>
  <si>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</si>
  <si>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</si>
  <si>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</si>
  <si>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</si>
  <si>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</si>
  <si>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</si>
  <si>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</si>
  <si>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</si>
  <si>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</si>
  <si>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</si>
  <si>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</si>
  <si>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</si>
  <si>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</si>
  <si>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</si>
  <si>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</si>
  <si>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</si>
  <si>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</si>
  <si>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</si>
  <si>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</si>
  <si>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</si>
  <si>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</si>
  <si>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</si>
  <si>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</si>
  <si>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</si>
  <si>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</si>
  <si>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</si>
  <si>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</si>
  <si>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</si>
  <si>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</si>
  <si>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</si>
  <si>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</si>
  <si>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</si>
  <si>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</si>
  <si>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</si>
  <si>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</si>
  <si>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</si>
  <si>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</si>
  <si>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</si>
  <si>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</si>
  <si>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</si>
  <si>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</si>
  <si>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</si>
  <si>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</si>
  <si>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</si>
  <si>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</si>
  <si>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</si>
  <si>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</si>
  <si>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</si>
  <si>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</si>
  <si>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</si>
  <si>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</si>
  <si>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</si>
  <si>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</si>
  <si>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</si>
  <si>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</si>
  <si>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</si>
  <si>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</si>
  <si>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</si>
  <si>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</si>
  <si>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</si>
  <si>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</si>
  <si>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</si>
  <si>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</si>
  <si>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</si>
  <si>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</si>
  <si>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</si>
  <si>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</si>
  <si>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</si>
  <si>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</si>
  <si>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</si>
  <si>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</si>
  <si>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</si>
  <si>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</si>
  <si>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</si>
  <si>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</si>
  <si>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</si>
  <si>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</si>
  <si>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</si>
  <si>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</si>
  <si>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</si>
  <si>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</si>
  <si>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</si>
  <si>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</si>
  <si>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</si>
  <si>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</si>
  <si>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</si>
  <si>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</si>
  <si>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</si>
  <si>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</si>
  <si>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</si>
  <si>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</si>
  <si>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</si>
  <si>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</si>
  <si>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</si>
  <si>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</si>
  <si>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</si>
  <si>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</si>
  <si>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</si>
  <si>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</si>
  <si>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</si>
  <si>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</si>
  <si>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</si>
  <si>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</si>
  <si>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</si>
  <si>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</si>
  <si>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</si>
  <si>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</si>
  <si>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</si>
  <si>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</si>
  <si>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</si>
  <si>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</si>
  <si>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</si>
  <si>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</si>
  <si>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</si>
  <si>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</si>
  <si>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</si>
  <si>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</si>
  <si>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</si>
  <si>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</si>
  <si>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</si>
  <si>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</si>
  <si>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</si>
  <si>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</si>
  <si>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</si>
  <si>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</si>
  <si>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</si>
  <si>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</si>
  <si>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</si>
  <si>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</si>
  <si>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</si>
  <si>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</si>
  <si>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</si>
  <si>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</si>
  <si>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</si>
  <si>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</si>
  <si>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</si>
  <si>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</si>
  <si>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</si>
  <si>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</si>
  <si>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</si>
  <si>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</si>
  <si>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</si>
  <si>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</si>
  <si>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</si>
  <si>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</si>
  <si>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</si>
  <si>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</si>
  <si>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</si>
  <si>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</si>
  <si>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</si>
  <si>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</si>
  <si>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</si>
  <si>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</si>
  <si>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</si>
  <si>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</si>
  <si>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</si>
  <si>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</si>
  <si>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</si>
  <si>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</si>
  <si>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</si>
  <si>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</si>
  <si>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</si>
  <si>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</si>
  <si>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</si>
  <si>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</si>
  <si>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</si>
  <si>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</si>
  <si>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</si>
  <si>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</si>
  <si>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</si>
  <si>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</si>
  <si>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</si>
  <si>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</si>
  <si>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</si>
  <si>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</si>
  <si>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</si>
  <si>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</si>
  <si>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</si>
  <si>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</si>
  <si>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</si>
  <si>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</si>
  <si>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</si>
  <si>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</si>
  <si>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</si>
  <si>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</si>
  <si>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</si>
  <si>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</si>
  <si>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</si>
  <si>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</si>
  <si>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</si>
  <si>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</si>
  <si>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</si>
  <si>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</si>
  <si>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</si>
  <si>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</si>
  <si>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</si>
  <si>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</si>
  <si>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</si>
  <si>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</si>
  <si>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</si>
  <si>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</si>
  <si>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</si>
  <si>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</si>
  <si>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</si>
  <si>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</si>
  <si>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</si>
  <si>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</si>
  <si>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</si>
  <si>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</si>
  <si>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</si>
  <si>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</si>
  <si>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</si>
  <si>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</si>
  <si>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</si>
  <si>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</si>
  <si>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</si>
  <si>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</si>
  <si>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</si>
  <si>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</si>
  <si>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</si>
  <si>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</si>
  <si>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</si>
  <si>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</si>
  <si>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</si>
  <si>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</si>
  <si>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</si>
  <si>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</si>
  <si>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</si>
  <si>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</si>
  <si>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</si>
  <si>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</si>
  <si>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</si>
  <si>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</si>
  <si>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</si>
  <si>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</si>
  <si>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</si>
  <si>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</si>
  <si>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</si>
  <si>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</si>
  <si>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</si>
  <si>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</si>
  <si>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</si>
  <si>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</si>
  <si>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</si>
  <si>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</si>
  <si>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</si>
  <si>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</si>
  <si>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</si>
  <si>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</si>
  <si>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</si>
  <si>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</si>
  <si>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</si>
  <si>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</si>
  <si>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</si>
  <si>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</si>
  <si>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</si>
  <si>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</si>
  <si>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</si>
  <si>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</si>
  <si>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</si>
  <si>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</si>
  <si>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</si>
  <si>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</si>
  <si>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</si>
  <si>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</si>
  <si>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</si>
  <si>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</si>
  <si>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</si>
  <si>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</si>
  <si>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</si>
  <si>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</si>
  <si>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</si>
  <si>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</si>
  <si>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</si>
  <si>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</si>
  <si>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</si>
  <si>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</si>
  <si>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</si>
  <si>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</si>
  <si>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</si>
  <si>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</si>
  <si>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</si>
  <si>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</si>
  <si>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</si>
  <si>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</si>
  <si>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</si>
  <si>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</si>
  <si>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</si>
  <si>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</si>
  <si>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</si>
  <si>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</si>
  <si>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</si>
  <si>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</si>
  <si>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</si>
  <si>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</si>
  <si>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</si>
  <si>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</si>
  <si>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</si>
  <si>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</si>
  <si>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</si>
  <si>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</si>
  <si>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</si>
  <si>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</si>
  <si>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</si>
  <si>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</si>
  <si>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</si>
  <si>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</si>
  <si>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</si>
  <si>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</si>
  <si>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</si>
  <si>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</si>
  <si>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</si>
  <si>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</si>
  <si>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</si>
  <si>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</si>
  <si>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</si>
  <si>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</si>
  <si>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</si>
  <si>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</si>
  <si>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</si>
  <si>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</si>
  <si>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</si>
  <si>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</si>
  <si>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</si>
  <si>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</si>
  <si>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</si>
  <si>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</si>
  <si>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</si>
  <si>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</si>
  <si>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</si>
  <si>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</si>
  <si>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</si>
  <si>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</si>
  <si>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</si>
  <si>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</si>
  <si>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</si>
  <si>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</si>
  <si>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</si>
  <si>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</si>
  <si>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</si>
  <si>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</si>
  <si>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</si>
  <si>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</si>
  <si>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</si>
  <si>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</si>
  <si>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</si>
  <si>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</si>
  <si>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</si>
  <si>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</si>
  <si>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</si>
  <si>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</si>
  <si>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</si>
  <si>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</si>
  <si>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</si>
  <si>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</si>
  <si>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</si>
  <si>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</si>
  <si>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</si>
  <si>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</si>
  <si>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</si>
  <si>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</si>
  <si>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</si>
  <si>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</si>
  <si>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</si>
  <si>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</si>
  <si>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</si>
  <si>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</si>
  <si>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</si>
  <si>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</si>
  <si>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</si>
  <si>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</si>
  <si>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</si>
  <si>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</si>
  <si>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</si>
  <si>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</si>
  <si>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</si>
  <si>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</si>
  <si>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</si>
  <si>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</si>
  <si>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</si>
  <si>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</si>
  <si>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</si>
  <si>
    <t>https://en.wikipedia.org/wiki/Fairfield_Township,_Cumberland_County,_New_Jersey</t>
  </si>
  <si>
    <t>https://en.wikipedia.org/wiki/Fairfield_Township,_Essex_County,_New_Jersey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</si>
  <si>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</si>
  <si>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</si>
  <si>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</si>
  <si>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https://en.wikipedia.org/wiki/Franklin,_Sussex_County,_New_Jersey</t>
  </si>
  <si>
    <t>https://en.wikipedia.org/wiki/Franklin_Township,_Warren_County,_New_Jersey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</si>
  <si>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</si>
  <si>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</si>
  <si>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</si>
  <si>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https://en.wikipedia.org/wiki/Hamilton_Township,_Atlantic_County,_New_Jersey</t>
  </si>
  <si>
    <t>https://en.wikipedia.org/wiki/Hamilton_Township,_Mercer_County,_New_Jersey</t>
  </si>
  <si>
    <t>https://en.wikipedia.org/wiki/Hampton,_Hunterdon_County,_New_Jersey</t>
  </si>
  <si>
    <t>https://en.wikipedia.org/wiki/Hampton_Township,_Sussex_County,_New_Jersey</t>
  </si>
  <si>
    <t>https://en.wikipedia.org/wiki/Harrison_Township,_Gloucester_County,_New_Jersey</t>
  </si>
  <si>
    <t>https://en.wikipedia.org/wiki/Harrison,_Hudson_County,_New_Jersey</t>
  </si>
  <si>
    <t>https://en.wikipedia.org/wiki/Hopewell_Township,_Cumberland_County,_New_Jersey</t>
  </si>
  <si>
    <t>https://en.wikipedia.org/wiki/Hopewell,_Mercer_County,_New_Jersey</t>
  </si>
  <si>
    <t>https://en.wikipedia.org/wiki/Hopewell_Township,_Mercer_County,_New_Jersey</t>
  </si>
  <si>
    <t>https://en.wikipedia.org/wiki/Lawrence_Township,_Cumberland_County,_New_Jersey</t>
  </si>
  <si>
    <t>https://en.wikipedia.org/wiki/Lawrence_Township,_Mercer_County,_New_Jersey</t>
  </si>
  <si>
    <t>https://en.wikipedia.org/wiki/Mansfield_Township,_Burlington_County,_New_Jersey</t>
  </si>
  <si>
    <t>https://en.wikipedia.org/wiki/Mansfield_Township,_Warren_County,_New_Jersey</t>
  </si>
  <si>
    <t>https://en.wikipedia.org/wiki/Millstone_Township,_Monmouth_County,_New_Jersey</t>
  </si>
  <si>
    <t>https://en.wikipedia.org/wiki/Millstone,_Somerset_County,_New_Jersey</t>
  </si>
  <si>
    <t>https://en.wikipedia.org/wiki/Monroe_Township,_Gloucester_County,_New_Jersey</t>
  </si>
  <si>
    <t>https://en.wikipedia.org/wiki/Monroe_Township,_Middlesex_County,_New_Jersey</t>
  </si>
  <si>
    <t>https://en.wikipedia.org/wiki/Ocean_Township,_Monmouth_County,_New_Jersey</t>
  </si>
  <si>
    <t>https://en.wikipedia.org/wiki/Ocean_Township,_Ocean_County,_New_Jersey</t>
  </si>
  <si>
    <t>https://en.wikipedia.org/wiki/Raritan_Township,_Hunterdon_County,_New_Jersey</t>
  </si>
  <si>
    <t>https://en.wikipedia.org/wiki/Raritan,_Somerset_County,_New_Jersey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</si>
  <si>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</si>
  <si>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</si>
  <si>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https://en.wikipedia.org/wiki/Union_Township,_Hunterdon_County,_New_Jersey</t>
  </si>
  <si>
    <t>https://en.wikipedia.org/wiki/Union_Township,_Union_County,_New_Jersey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</si>
  <si>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</si>
  <si>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</si>
  <si>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</si>
  <si>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</si>
  <si>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https://en.wikipedia.org/wiki/Washington,_Warren_County,_New_Jersey</t>
  </si>
  <si>
    <t>https://en.wikipedia.org/wiki/Washington_Township,_Warren_County,_New_Jersey</t>
  </si>
  <si>
    <t>Bridgeton Family Diner &amp; Restaurant</t>
  </si>
  <si>
    <t>Dino's Pizzaria</t>
  </si>
  <si>
    <t>Cedar Rose Vineyards</t>
  </si>
  <si>
    <t>The Charlesworth Restaurant</t>
  </si>
  <si>
    <t>Antojitos Guerrero Mx</t>
  </si>
  <si>
    <t>The Bait Box</t>
  </si>
  <si>
    <t>The Greater Bridgeton Amish Market</t>
  </si>
  <si>
    <t>Bull on the Barn Bayshore Crab House</t>
  </si>
  <si>
    <t>Maurice River Diner</t>
  </si>
  <si>
    <t>Old Oar House Irish Pub</t>
  </si>
  <si>
    <t>Shiloh Market</t>
  </si>
  <si>
    <t>Stow Creek Landing (Picnic)</t>
  </si>
  <si>
    <t>Golden Pigeon Diner</t>
  </si>
  <si>
    <t>El Cilantro Mexican Restaurant</t>
  </si>
  <si>
    <t>https://maps.app.goo.gl/YKSxWGRvsQLd4Mi67</t>
  </si>
  <si>
    <t>Google Maps</t>
  </si>
  <si>
    <t>Umi Hotpot Sushi &amp; Seafood Buffet</t>
  </si>
  <si>
    <t>blueplate</t>
  </si>
  <si>
    <t>BBQ Clubhouse @ Dalton Farms</t>
  </si>
  <si>
    <t>Coconut Grove Dockside Bar</t>
  </si>
  <si>
    <t>Osteria 545</t>
  </si>
  <si>
    <t>Hens &amp; Honey</t>
  </si>
  <si>
    <t>First Watch</t>
  </si>
  <si>
    <t>The Colonial Diner</t>
  </si>
  <si>
    <t>The Hollywood Diner and Bar</t>
  </si>
  <si>
    <t>Dunkin' Donuts</t>
  </si>
  <si>
    <t>Talk of the Towne</t>
  </si>
  <si>
    <t>Seagraves Subs</t>
  </si>
  <si>
    <t>Cedar Creek Pizza &amp; Grill</t>
  </si>
  <si>
    <t>Java Dog Coffee &amp; Tea</t>
  </si>
  <si>
    <t>Taqueria Atexquita</t>
  </si>
  <si>
    <t>The Shipyard</t>
  </si>
  <si>
    <t>Cowtown Rodeo</t>
  </si>
  <si>
    <t>Comfort Cafe &amp; Bistro</t>
  </si>
  <si>
    <t>Salem Oak Diner</t>
  </si>
  <si>
    <t>Woodstown Diner</t>
  </si>
  <si>
    <t>Sad Boyz</t>
  </si>
  <si>
    <t>Taco Birria</t>
  </si>
  <si>
    <t>Marcello's</t>
  </si>
  <si>
    <t>The Union House</t>
  </si>
  <si>
    <t>Hibachi Grill &amp; Supreme Buffet</t>
  </si>
  <si>
    <t>Mario &amp; Franks II</t>
  </si>
  <si>
    <t>Lillo's Tomato Pies</t>
  </si>
  <si>
    <t>Friends' House - Birthday Party</t>
  </si>
  <si>
    <t>Yard House</t>
  </si>
  <si>
    <t>B-Unos</t>
  </si>
  <si>
    <t>Manila Cafe &amp; Asian Mart</t>
  </si>
  <si>
    <t>Burger King</t>
  </si>
  <si>
    <t>Vincetown Diner</t>
  </si>
  <si>
    <t>Pandora Diner</t>
  </si>
  <si>
    <t>The Village Pub &amp; Package Goods</t>
  </si>
  <si>
    <t>JB's Lunch Box</t>
  </si>
  <si>
    <t>The Q Spot</t>
  </si>
  <si>
    <t>EFENDY Turkish Restaurant</t>
  </si>
  <si>
    <t>Buzby's Eatery &amp; General Store</t>
  </si>
  <si>
    <t>https://www.facebook.com/reel/3551711418468987</t>
  </si>
  <si>
    <t>NJ Town #115: Hainesport</t>
  </si>
  <si>
    <t>NJ Town #114: Mount Holly</t>
  </si>
  <si>
    <t>https://www.facebook.com/reel/1132004315359798</t>
  </si>
  <si>
    <t>NJ Town #116: Mount Laurel</t>
  </si>
  <si>
    <t>https://www.facebook.com/reel/2980026428868561</t>
  </si>
  <si>
    <t>NJ Town #88: Willingboro</t>
  </si>
  <si>
    <t>https://www.facebook.com/permalink.php?story_fbid=pfbid0342NUrbgWYHmCaFQdN33ETkFzJ84LczVowMjBpdLKR24gFAx5FrcqmS9ftuHZrPTAl&amp;id=61569640546791</t>
  </si>
  <si>
    <t>Sun Harbor Seafood &amp; Grill</t>
  </si>
  <si>
    <t>Mustache Bill's Diner</t>
  </si>
  <si>
    <t>The Grenville Restaurant &amp; Hotel</t>
  </si>
  <si>
    <t>Black Whale Bar &amp; Fish House</t>
  </si>
  <si>
    <t>Sand Castle Diner</t>
  </si>
  <si>
    <t>B2Bistro Waters Edge</t>
  </si>
  <si>
    <t>Chuck &amp; Maureen's Pig Roast</t>
  </si>
  <si>
    <t>Calloway's Restaurant &amp; Bar</t>
  </si>
  <si>
    <t>Black Eyed Susan's Restaurant &amp; Tavern</t>
  </si>
  <si>
    <t>Great Adventure</t>
  </si>
  <si>
    <t>The Waterfront</t>
  </si>
  <si>
    <t>Lakehurst Diner</t>
  </si>
  <si>
    <t>Route 70 Diner</t>
  </si>
  <si>
    <t>Rosie's</t>
  </si>
  <si>
    <t>Clemmy's</t>
  </si>
  <si>
    <t>Roy Rogers</t>
  </si>
  <si>
    <t>Laurita Winery</t>
  </si>
  <si>
    <t>Tacoholics</t>
  </si>
  <si>
    <t>The Shrimp Box</t>
  </si>
  <si>
    <t>The Sawmill</t>
  </si>
  <si>
    <t>LBI Table</t>
  </si>
  <si>
    <t>And It's Good Stuff</t>
  </si>
  <si>
    <t>Dockside Cafe</t>
  </si>
  <si>
    <t>Villa Amalfi</t>
  </si>
  <si>
    <t>NJ Town #124: Beachwood</t>
  </si>
  <si>
    <t>https://www.facebook.com/reel/1543556009974817</t>
  </si>
  <si>
    <t>NJ Town #124: Bonus Town Trivia</t>
  </si>
  <si>
    <t>https://www.facebook.com/permalink.php?story_fbid=pfbid04dYD4JWGLk55bhtpT3ZBfwCubZPaQ6vyAMKrpzzZ6tjHvnetXEDh4RXSxpeLbb1bl&amp;id=61569640546791</t>
  </si>
  <si>
    <t>NJ Town #100: Brick</t>
  </si>
  <si>
    <t>NJ Town #125: Pine Beach</t>
  </si>
  <si>
    <t>https://www.facebook.com/reel/715304104525377</t>
  </si>
  <si>
    <t>NJ Town #125: Bonus Town Trivia</t>
  </si>
  <si>
    <t>https://www.facebook.com/permalink.php?story_fbid=pfbid02dSy8sDqV3KRKrcmMfT7s4QQSUhCRnP12C83dMQzEwsjnDrC7SD24WJSTw49wZ1Vl&amp;id=61569640546791</t>
  </si>
  <si>
    <t>https://www.facebook.com/permalink.php?story_fbid=pfbid02w9s314etvQoYKDPekMmXYEFFUUNFUEB9HK2EudLNyNEJeJiHSBwgioLuX7tb5u9Bl&amp;id=61569640546791</t>
  </si>
  <si>
    <t>NJ Town #107: Lacey</t>
  </si>
  <si>
    <t>https://www.facebook.com/reel/1534430474612131</t>
  </si>
  <si>
    <t>NJ Town #112: Lakehurst</t>
  </si>
  <si>
    <t>https://fb.watch/Gj-LKnNvvM/</t>
  </si>
  <si>
    <t>NJ Town #101: Point Pleasant Boro</t>
  </si>
  <si>
    <t>https://www.facebook.com/reel/1120284442713116</t>
  </si>
  <si>
    <t>Sakura Sushi &amp; Hibachi</t>
  </si>
  <si>
    <t>Old Rail Bar</t>
  </si>
  <si>
    <t>Cafe Nitido</t>
  </si>
  <si>
    <t>Gaetano's of Brooklawn</t>
  </si>
  <si>
    <t>Nan Xiang Soup Dumplings</t>
  </si>
  <si>
    <t>Sabrina's Cafe</t>
  </si>
  <si>
    <t>Blue Monkey Tavern</t>
  </si>
  <si>
    <t>Los Jalapenos Grill</t>
  </si>
  <si>
    <t>Food Reyes</t>
  </si>
  <si>
    <t>2025-12-31</t>
  </si>
  <si>
    <t>2025-06-16</t>
  </si>
  <si>
    <t>2023-11-05</t>
  </si>
  <si>
    <t>2025-10-07</t>
  </si>
  <si>
    <t>2024-12-28</t>
  </si>
  <si>
    <t>2026-03-06</t>
  </si>
  <si>
    <t>2025-05-05</t>
  </si>
  <si>
    <t>2025-04-21</t>
  </si>
  <si>
    <t>Wildflowers Inn</t>
  </si>
  <si>
    <t>Route 1 Diner</t>
  </si>
  <si>
    <t>Vito's Pizza</t>
  </si>
  <si>
    <t>Papa's Tomato Pies</t>
  </si>
  <si>
    <t>Cooper's Riverview</t>
  </si>
  <si>
    <t>Friend's Halloween Party</t>
  </si>
  <si>
    <t>Ratz</t>
  </si>
  <si>
    <t>Tavern on the Lake</t>
  </si>
  <si>
    <t>Nomad Pizza</t>
  </si>
  <si>
    <t>Penang</t>
  </si>
  <si>
    <t>NJ Town #97: Trenton</t>
  </si>
  <si>
    <t>https://www.facebook.com/permalink.php?story_fbid=pfbid0342hV1CwqKyY46gYLJn5CtCiPhrWvHBiJVRGfxSj6Mw5LkwJfioKeyaga3XZFRuEUl&amp;id=61569640546791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</si>
</sst>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5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  <xf numFmtId="49" fontId="3" fillId="14" borderId="1" xfId="0" applyNumberFormat="1" applyFont="1" applyFill="1" applyBorder="1" applyAlignment="1">
      <alignment vertical="center"/>
    </xf>
    <xf numFmtId="49" fontId="3" fillId="13" borderId="1" xfId="0" applyNumberFormat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tabSelected="1" zoomScale="150" zoomScaleNormal="150" workbookViewId="0">
      <pane xSplit="3" ySplit="2" topLeftCell="D123" activePane="bottomRight" state="frozen"/>
      <selection pane="topRight"/>
      <selection pane="bottomLeft"/>
      <selection pane="bottomRight" activeCell="E541" sqref="E54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9" t="s">
        <v>0</v>
      </c>
      <c r="B1" s="70"/>
      <c r="C1" s="70"/>
      <c r="D1" s="68"/>
      <c r="E1" s="73" t="s">
        <v>1</v>
      </c>
      <c r="F1" s="70"/>
      <c r="G1" s="70"/>
      <c r="H1" s="68"/>
      <c r="I1" s="67" t="s">
        <v>2</v>
      </c>
      <c r="J1" s="68"/>
      <c r="K1" s="1" t="s">
        <v>3</v>
      </c>
      <c r="L1" s="76" t="s">
        <v>4</v>
      </c>
      <c r="M1" s="70"/>
      <c r="N1" s="70"/>
      <c r="O1" s="68"/>
      <c r="P1" s="77" t="s">
        <v>5</v>
      </c>
      <c r="Q1" s="70"/>
      <c r="R1" s="70"/>
      <c r="S1" s="68"/>
      <c r="T1" s="78" t="s">
        <v>6</v>
      </c>
      <c r="U1" s="70"/>
      <c r="V1" s="70"/>
      <c r="W1" s="68"/>
      <c r="X1" s="72" t="s">
        <v>7</v>
      </c>
      <c r="Y1" s="70"/>
      <c r="Z1" s="70"/>
      <c r="AA1" s="68"/>
      <c r="AB1" s="74" t="s">
        <v>8</v>
      </c>
      <c r="AC1" s="70"/>
      <c r="AD1" s="70"/>
      <c r="AE1" s="68"/>
      <c r="AF1" s="75" t="s">
        <v>9</v>
      </c>
      <c r="AG1" s="70"/>
      <c r="AH1" s="70"/>
      <c r="AI1" s="68"/>
      <c r="AJ1" s="71" t="s">
        <v>10</v>
      </c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68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hidden="1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hidden="1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hidden="1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hidden="1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hidden="1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hidden="1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hidden="1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hidden="1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hidden="1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156</v>
      </c>
      <c r="F18" s="15">
        <v>283</v>
      </c>
      <c r="G18" s="15" t="s">
        <v>1563</v>
      </c>
      <c r="H18" s="83" t="s">
        <v>1570</v>
      </c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hidden="1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hidden="1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hidden="1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156</v>
      </c>
      <c r="F22" s="15">
        <v>227</v>
      </c>
      <c r="G22" t="s">
        <v>1521</v>
      </c>
      <c r="H22" s="16">
        <v>45535</v>
      </c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hidden="1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156</v>
      </c>
      <c r="F23" s="13">
        <v>218</v>
      </c>
      <c r="G23" t="s">
        <v>1522</v>
      </c>
      <c r="H23" s="14">
        <v>45515</v>
      </c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hidden="1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156</v>
      </c>
      <c r="F24" s="15">
        <v>275</v>
      </c>
      <c r="G24" s="15" t="s">
        <v>1562</v>
      </c>
      <c r="H24" s="83" t="s">
        <v>1571</v>
      </c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hidden="1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156</v>
      </c>
      <c r="F25" s="13">
        <v>224</v>
      </c>
      <c r="G25" t="s">
        <v>1494</v>
      </c>
      <c r="H25" s="14">
        <v>45529</v>
      </c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156</v>
      </c>
      <c r="F26" s="15">
        <v>232</v>
      </c>
      <c r="G26" t="s">
        <v>1523</v>
      </c>
      <c r="H26" s="16">
        <v>45554</v>
      </c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hidden="1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156</v>
      </c>
      <c r="F28" s="15">
        <v>193</v>
      </c>
      <c r="G28" t="s">
        <v>1524</v>
      </c>
      <c r="H28" s="16">
        <v>45416</v>
      </c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hidden="1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>
        <v>124</v>
      </c>
      <c r="G29" t="s">
        <v>1525</v>
      </c>
      <c r="H29" s="14">
        <v>45214</v>
      </c>
      <c r="I29" s="13"/>
      <c r="J29" s="13"/>
      <c r="K29" s="13" t="str">
        <f t="shared" si="0"/>
        <v>https://en.wikipedia.org/wiki/Beachwood,_New_Jersey</v>
      </c>
      <c r="L29" s="13" t="s">
        <v>1545</v>
      </c>
      <c r="M29" s="13" t="s">
        <v>140</v>
      </c>
      <c r="N29" s="13" t="s">
        <v>1547</v>
      </c>
      <c r="O29" s="13" t="s">
        <v>142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1545</v>
      </c>
      <c r="AG29" s="13" t="s">
        <v>1546</v>
      </c>
      <c r="AH29" s="13" t="s">
        <v>1547</v>
      </c>
      <c r="AI29" s="13" t="s">
        <v>1548</v>
      </c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hidden="1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hidden="1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hidden="1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156</v>
      </c>
      <c r="F32" s="15">
        <v>137</v>
      </c>
      <c r="G32" t="s">
        <v>1561</v>
      </c>
      <c r="H32" s="83" t="s">
        <v>1572</v>
      </c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hidden="1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hidden="1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156</v>
      </c>
      <c r="F36" s="15">
        <v>219</v>
      </c>
      <c r="G36" t="s">
        <v>1526</v>
      </c>
      <c r="H36" s="16">
        <v>45520</v>
      </c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hidden="1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hidden="1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hidden="1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hidden="1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hidden="1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156</v>
      </c>
      <c r="F43" s="13">
        <v>248</v>
      </c>
      <c r="G43" t="s">
        <v>1495</v>
      </c>
      <c r="H43" s="14">
        <v>45613</v>
      </c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hidden="1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hidden="1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hidden="1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hidden="1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156</v>
      </c>
      <c r="F51" s="13">
        <v>130</v>
      </c>
      <c r="G51" t="s">
        <v>1496</v>
      </c>
      <c r="H51" s="14">
        <v>45221</v>
      </c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hidden="1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hidden="1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hidden="1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hidden="1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>
        <v>100</v>
      </c>
      <c r="G57" t="s">
        <v>1527</v>
      </c>
      <c r="H57" s="14">
        <v>45150</v>
      </c>
      <c r="I57" s="13"/>
      <c r="J57" s="13"/>
      <c r="K57" s="13" t="str">
        <f t="shared" si="0"/>
        <v>https://en.wikipedia.org/wiki/Brick_Township,_New_Jersey</v>
      </c>
      <c r="L57" s="13" t="s">
        <v>1549</v>
      </c>
      <c r="M57" s="13" t="s">
        <v>211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1549</v>
      </c>
      <c r="AG57" s="13" t="s">
        <v>1554</v>
      </c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156</v>
      </c>
      <c r="F58" s="15">
        <v>201</v>
      </c>
      <c r="G58" t="s">
        <v>1458</v>
      </c>
      <c r="H58" s="16">
        <v>111208</v>
      </c>
      <c r="I58" s="15" t="s">
        <v>1473</v>
      </c>
      <c r="J58" s="15" t="s">
        <v>1472</v>
      </c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hidden="1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hidden="1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hidden="1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156</v>
      </c>
      <c r="F62" s="15">
        <v>274</v>
      </c>
      <c r="G62" s="15" t="s">
        <v>1564</v>
      </c>
      <c r="H62" s="83" t="s">
        <v>1571</v>
      </c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hidden="1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hidden="1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hidden="1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156</v>
      </c>
      <c r="F65" s="13">
        <v>247</v>
      </c>
      <c r="G65" t="s">
        <v>1497</v>
      </c>
      <c r="H65" s="14">
        <v>45613</v>
      </c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hidden="1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hidden="1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hidden="1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hidden="1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hidden="1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hidden="1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hidden="1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156</v>
      </c>
      <c r="F75" s="13">
        <v>264</v>
      </c>
      <c r="G75" t="s">
        <v>1484</v>
      </c>
      <c r="H75" s="14">
        <v>45703</v>
      </c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hidden="1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hidden="1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hidden="1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156</v>
      </c>
      <c r="F80" s="15">
        <v>281</v>
      </c>
      <c r="G80" s="15" t="s">
        <v>1565</v>
      </c>
      <c r="H80" s="83" t="s">
        <v>1573</v>
      </c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hidden="1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hidden="1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hidden="1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hidden="1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156</v>
      </c>
      <c r="F85" s="13">
        <v>265</v>
      </c>
      <c r="G85" t="s">
        <v>1498</v>
      </c>
      <c r="H85" s="14">
        <v>45654</v>
      </c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hidden="1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hidden="1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hidden="1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hidden="1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hidden="1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156</v>
      </c>
      <c r="F95" s="13">
        <v>255</v>
      </c>
      <c r="G95" s="13" t="s">
        <v>1566</v>
      </c>
      <c r="H95" s="84" t="s">
        <v>1574</v>
      </c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hidden="1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156</v>
      </c>
      <c r="F97" s="13">
        <v>171</v>
      </c>
      <c r="G97" t="s">
        <v>1459</v>
      </c>
      <c r="H97" s="14">
        <v>45318</v>
      </c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hidden="1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hidden="1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hidden="1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hidden="1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156</v>
      </c>
      <c r="F103" s="13">
        <v>205</v>
      </c>
      <c r="G103" t="s">
        <v>1460</v>
      </c>
      <c r="H103" s="14">
        <v>45466</v>
      </c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hidden="1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hidden="1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hidden="1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hidden="1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hidden="1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hidden="1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156</v>
      </c>
      <c r="F110" s="15">
        <v>158</v>
      </c>
      <c r="G110" s="66" t="s">
        <v>1474</v>
      </c>
      <c r="H110" s="16">
        <v>45283</v>
      </c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hidden="1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156</v>
      </c>
      <c r="F112" s="15">
        <v>203</v>
      </c>
      <c r="G112" t="s">
        <v>1461</v>
      </c>
      <c r="H112" s="16">
        <v>45465</v>
      </c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hidden="1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hidden="1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156</v>
      </c>
      <c r="F115" s="13">
        <v>164</v>
      </c>
      <c r="G115" t="s">
        <v>1528</v>
      </c>
      <c r="H115" s="14">
        <v>45297</v>
      </c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hidden="1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hidden="1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hidden="1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101</v>
      </c>
      <c r="F123" s="13"/>
      <c r="G123" s="13" t="s">
        <v>1583</v>
      </c>
      <c r="H123" s="14">
        <v>43400</v>
      </c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hidden="1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hidden="1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hidden="1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hidden="1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hidden="1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hidden="1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3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hidden="1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hidden="1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156</v>
      </c>
      <c r="F135" s="13">
        <v>184</v>
      </c>
      <c r="G135" t="s">
        <v>1485</v>
      </c>
      <c r="H135" s="14">
        <v>45388</v>
      </c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hidden="1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hidden="1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hidden="1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hidden="1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hidden="1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156</v>
      </c>
      <c r="F146" s="15">
        <v>202</v>
      </c>
      <c r="G146" t="s">
        <v>1462</v>
      </c>
      <c r="H146" s="16">
        <v>111208</v>
      </c>
      <c r="I146" s="15"/>
      <c r="J146" s="15"/>
      <c r="K146" s="13" t="s">
        <v>1417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hidden="1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">
        <v>1418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hidden="1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hidden="1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hidden="1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156</v>
      </c>
      <c r="F152" s="15">
        <v>263</v>
      </c>
      <c r="G152" t="s">
        <v>1499</v>
      </c>
      <c r="H152" s="16">
        <v>45682</v>
      </c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hidden="1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hidden="1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101</v>
      </c>
      <c r="F154" s="15"/>
      <c r="G154" t="s">
        <v>1501</v>
      </c>
      <c r="H154" s="16">
        <v>45073</v>
      </c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hidden="1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hidden="1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hidden="1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hidden="1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">
        <v>1419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">
        <v>1420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hidden="1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">
        <v>1421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">
        <v>1422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hidden="1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">
        <v>1423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hidden="1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hidden="1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hidden="1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hidden="1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hidden="1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hidden="1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hidden="1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hidden="1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hidden="1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hidden="1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hidden="1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156</v>
      </c>
      <c r="F182" s="15">
        <v>185</v>
      </c>
      <c r="G182" t="s">
        <v>1463</v>
      </c>
      <c r="H182" s="16">
        <v>45388</v>
      </c>
      <c r="I182" s="15"/>
      <c r="J182" s="15"/>
      <c r="K182" s="13" t="s">
        <v>1424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hidden="1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">
        <v>1425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">
        <v>1426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hidden="1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hidden="1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hidden="1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hidden="1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hidden="1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hidden="1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>
        <v>115</v>
      </c>
      <c r="G191" t="s">
        <v>1500</v>
      </c>
      <c r="H191" s="14">
        <v>45178</v>
      </c>
      <c r="I191" s="13"/>
      <c r="J191" s="13"/>
      <c r="K191" s="13" t="str">
        <f t="shared" si="2"/>
        <v>https://en.wikipedia.org/wiki/Hainesport_Township,_New_Jersey</v>
      </c>
      <c r="L191" s="13" t="s">
        <v>1514</v>
      </c>
      <c r="M191" s="13" t="s">
        <v>497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1514</v>
      </c>
      <c r="AG191" s="13" t="s">
        <v>1513</v>
      </c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hidden="1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hidden="1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">
        <v>1427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101</v>
      </c>
      <c r="F195" s="13"/>
      <c r="G195" s="13" t="s">
        <v>1584</v>
      </c>
      <c r="H195" s="14">
        <v>42547</v>
      </c>
      <c r="I195" s="13"/>
      <c r="J195" s="13"/>
      <c r="K195" s="13" t="s">
        <v>1428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hidden="1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hidden="1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">
        <v>1429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">
        <v>1430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hidden="1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hidden="1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hidden="1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hidden="1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156</v>
      </c>
      <c r="F205" s="13">
        <v>156</v>
      </c>
      <c r="G205" t="s">
        <v>1475</v>
      </c>
      <c r="H205" s="14">
        <v>45283</v>
      </c>
      <c r="I205" s="13"/>
      <c r="J205" s="13"/>
      <c r="K205" s="13" t="s">
        <v>1431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">
        <v>1432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hidden="1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156</v>
      </c>
      <c r="F207" s="13">
        <v>235</v>
      </c>
      <c r="G207" t="s">
        <v>1529</v>
      </c>
      <c r="H207" s="14">
        <v>45564</v>
      </c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hidden="1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hidden="1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hidden="1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hidden="1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hidden="1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156</v>
      </c>
      <c r="F217" s="13">
        <v>150</v>
      </c>
      <c r="G217" s="13" t="s">
        <v>1585</v>
      </c>
      <c r="H217" s="14">
        <v>45263</v>
      </c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hidden="1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hidden="1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hidden="1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hidden="1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hidden="1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hidden="1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156</v>
      </c>
      <c r="F227" s="13">
        <v>198</v>
      </c>
      <c r="G227" t="s">
        <v>1464</v>
      </c>
      <c r="H227" s="14">
        <v>45444</v>
      </c>
      <c r="I227" s="13"/>
      <c r="J227" s="13"/>
      <c r="K227" s="13" t="s">
        <v>1433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">
        <v>1434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156</v>
      </c>
      <c r="F229" s="13">
        <v>151</v>
      </c>
      <c r="G229" s="13" t="s">
        <v>1578</v>
      </c>
      <c r="H229" s="14">
        <v>45268</v>
      </c>
      <c r="I229" s="13"/>
      <c r="J229" s="13"/>
      <c r="K229" s="13" t="s">
        <v>1435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hidden="1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hidden="1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hidden="1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101</v>
      </c>
      <c r="F235" s="13"/>
      <c r="G235" t="s">
        <v>1530</v>
      </c>
      <c r="H235" s="14">
        <v>42666</v>
      </c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hidden="1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hidden="1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hidden="1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hidden="1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hidden="1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>
        <v>107</v>
      </c>
      <c r="G246" t="s">
        <v>1531</v>
      </c>
      <c r="H246" s="16">
        <v>45160</v>
      </c>
      <c r="I246" s="15"/>
      <c r="J246" s="15"/>
      <c r="K246" s="13" t="str">
        <f t="shared" si="3"/>
        <v>https://en.wikipedia.org/wiki/Lacey_Township,_New_Jersey</v>
      </c>
      <c r="L246" s="15" t="s">
        <v>1555</v>
      </c>
      <c r="M246" s="15" t="s">
        <v>616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1555</v>
      </c>
      <c r="AG246" s="15" t="s">
        <v>1556</v>
      </c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hidden="1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hidden="1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>
        <v>112</v>
      </c>
      <c r="G249" t="s">
        <v>1532</v>
      </c>
      <c r="H249" s="14">
        <v>45173</v>
      </c>
      <c r="I249" s="13"/>
      <c r="J249" s="13"/>
      <c r="K249" s="13" t="str">
        <f t="shared" si="3"/>
        <v>https://en.wikipedia.org/wiki/Lakehurst,_New_Jersey</v>
      </c>
      <c r="L249" s="13" t="s">
        <v>1557</v>
      </c>
      <c r="M249" s="13" t="s">
        <v>624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1557</v>
      </c>
      <c r="AG249" s="13" t="s">
        <v>1558</v>
      </c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156</v>
      </c>
      <c r="F250" s="15">
        <v>190</v>
      </c>
      <c r="G250" t="s">
        <v>1533</v>
      </c>
      <c r="H250" s="16">
        <v>45403</v>
      </c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hidden="1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hidden="1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hidden="1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hidden="1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hidden="1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156</v>
      </c>
      <c r="F255" s="13">
        <v>199</v>
      </c>
      <c r="G255" t="s">
        <v>1465</v>
      </c>
      <c r="H255" s="14">
        <v>45444</v>
      </c>
      <c r="I255" s="13"/>
      <c r="J255" s="13"/>
      <c r="K255" s="13" t="s">
        <v>1436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156</v>
      </c>
      <c r="F256" s="15">
        <v>129</v>
      </c>
      <c r="G256" s="15" t="s">
        <v>1579</v>
      </c>
      <c r="H256" s="16">
        <v>45221</v>
      </c>
      <c r="I256" s="15"/>
      <c r="J256" s="15"/>
      <c r="K256" s="13" t="s">
        <v>1437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hidden="1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hidden="1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hidden="1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hidden="1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hidden="1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hidden="1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hidden="1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hidden="1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hidden="1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156</v>
      </c>
      <c r="F272" s="15">
        <v>188</v>
      </c>
      <c r="G272" t="s">
        <v>1476</v>
      </c>
      <c r="H272" s="16">
        <v>45396</v>
      </c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hidden="1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hidden="1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hidden="1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hidden="1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hidden="1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hidden="1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156</v>
      </c>
      <c r="F279" s="13">
        <v>267</v>
      </c>
      <c r="G279" s="66" t="s">
        <v>1486</v>
      </c>
      <c r="H279" s="14">
        <v>45768</v>
      </c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hidden="1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hidden="1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hidden="1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hidden="1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hidden="1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hidden="1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156</v>
      </c>
      <c r="F288" s="15">
        <v>266</v>
      </c>
      <c r="G288" t="s">
        <v>1487</v>
      </c>
      <c r="H288" s="16">
        <v>45768</v>
      </c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hidden="1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">
        <v>1438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">
        <v>1439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hidden="1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hidden="1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hidden="1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hidden="1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hidden="1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hidden="1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hidden="1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156</v>
      </c>
      <c r="F299" s="13">
        <v>170</v>
      </c>
      <c r="G299" t="s">
        <v>1466</v>
      </c>
      <c r="H299" s="14">
        <v>45318</v>
      </c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hidden="1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hidden="1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hidden="1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hidden="1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156</v>
      </c>
      <c r="F305" s="13">
        <v>284</v>
      </c>
      <c r="G305" s="13" t="s">
        <v>1567</v>
      </c>
      <c r="H305" s="84" t="s">
        <v>1575</v>
      </c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hidden="1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hidden="1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hidden="1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hidden="1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">
        <v>1440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">
        <v>1441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hidden="1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156</v>
      </c>
      <c r="F316" s="15">
        <v>172</v>
      </c>
      <c r="G316" t="s">
        <v>1467</v>
      </c>
      <c r="H316" s="16">
        <v>45318</v>
      </c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hidden="1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hidden="1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">
        <v>1442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">
        <v>1443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hidden="1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hidden="1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hidden="1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hidden="1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101</v>
      </c>
      <c r="F327" s="13"/>
      <c r="G327" t="s">
        <v>1502</v>
      </c>
      <c r="H327" s="14">
        <v>44592</v>
      </c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t="s">
        <v>1503</v>
      </c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hidden="1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hidden="1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hidden="1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hidden="1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>
        <v>114</v>
      </c>
      <c r="G333" t="s">
        <v>1503</v>
      </c>
      <c r="H333" s="14">
        <v>45178</v>
      </c>
      <c r="I333" s="13"/>
      <c r="J333" s="13"/>
      <c r="K333" s="13" t="str">
        <f t="shared" si="5"/>
        <v>https://en.wikipedia.org/wiki/Mount_Holly_Township,_New_Jersey</v>
      </c>
      <c r="L333" s="13" t="s">
        <v>1515</v>
      </c>
      <c r="M333" s="13" t="s">
        <v>795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1515</v>
      </c>
      <c r="AG333" s="13" t="s">
        <v>1516</v>
      </c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hidden="1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>
        <v>116</v>
      </c>
      <c r="G334" t="s">
        <v>1504</v>
      </c>
      <c r="H334" s="16">
        <v>45178</v>
      </c>
      <c r="I334" s="15"/>
      <c r="J334" s="15"/>
      <c r="K334" s="13" t="str">
        <f t="shared" si="5"/>
        <v>https://en.wikipedia.org/wiki/Mount_Laurel_Township,_New_Jersey</v>
      </c>
      <c r="L334" s="15" t="s">
        <v>1517</v>
      </c>
      <c r="M334" s="15" t="s">
        <v>799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1517</v>
      </c>
      <c r="AG334" s="15" t="s">
        <v>1518</v>
      </c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hidden="1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hidden="1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hidden="1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hidden="1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156</v>
      </c>
      <c r="F339" s="13">
        <v>212</v>
      </c>
      <c r="G339" t="s">
        <v>1477</v>
      </c>
      <c r="H339" s="14">
        <v>45480</v>
      </c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hidden="1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hidden="1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hidden="1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hidden="1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hidden="1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hidden="1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hidden="1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hidden="1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hidden="1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hidden="1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hidden="1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hidden="1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hidden="1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hidden="1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156</v>
      </c>
      <c r="F363" s="13">
        <v>271</v>
      </c>
      <c r="G363" s="13" t="s">
        <v>1568</v>
      </c>
      <c r="H363" s="84" t="s">
        <v>1576</v>
      </c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">
        <v>1444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hidden="1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156</v>
      </c>
      <c r="F365" s="13">
        <v>265</v>
      </c>
      <c r="G365" t="s">
        <v>1535</v>
      </c>
      <c r="H365" s="14">
        <v>45705</v>
      </c>
      <c r="I365" s="13"/>
      <c r="J365" s="13"/>
      <c r="K365" s="13" t="s">
        <v>1445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hidden="1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hidden="1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156</v>
      </c>
      <c r="F367" s="13">
        <v>182</v>
      </c>
      <c r="G367" t="s">
        <v>1534</v>
      </c>
      <c r="H367" s="14">
        <v>45359</v>
      </c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hidden="1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hidden="1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hidden="1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hidden="1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hidden="1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hidden="1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hidden="1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hidden="1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hidden="1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156</v>
      </c>
      <c r="F382" s="15">
        <v>189</v>
      </c>
      <c r="G382" t="s">
        <v>1478</v>
      </c>
      <c r="H382" s="16">
        <v>45396</v>
      </c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hidden="1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hidden="1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156</v>
      </c>
      <c r="F384" s="15">
        <v>144</v>
      </c>
      <c r="G384" t="s">
        <v>1505</v>
      </c>
      <c r="H384" s="16">
        <v>45254</v>
      </c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hidden="1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156</v>
      </c>
      <c r="F386" s="15">
        <v>152</v>
      </c>
      <c r="G386" s="15" t="s">
        <v>1580</v>
      </c>
      <c r="H386" s="16">
        <v>45268</v>
      </c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hidden="1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156</v>
      </c>
      <c r="F387" s="13">
        <v>210</v>
      </c>
      <c r="G387" t="s">
        <v>1488</v>
      </c>
      <c r="H387" s="14">
        <v>45478</v>
      </c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hidden="1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hidden="1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156</v>
      </c>
      <c r="F389" s="13">
        <v>211</v>
      </c>
      <c r="G389" t="s">
        <v>1489</v>
      </c>
      <c r="H389" s="14">
        <v>45480</v>
      </c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hidden="1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hidden="1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156</v>
      </c>
      <c r="F393" s="13">
        <v>220</v>
      </c>
      <c r="G393" t="s">
        <v>1490</v>
      </c>
      <c r="H393" s="14">
        <v>45521</v>
      </c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>
        <v>125</v>
      </c>
      <c r="G394" t="s">
        <v>1536</v>
      </c>
      <c r="H394" s="16">
        <v>45214</v>
      </c>
      <c r="I394" s="15"/>
      <c r="J394" s="15"/>
      <c r="K394" s="13" t="str">
        <f t="shared" si="6"/>
        <v>https://en.wikipedia.org/wiki/Pine_Beach,_New_Jersey</v>
      </c>
      <c r="L394" s="15" t="s">
        <v>1550</v>
      </c>
      <c r="M394" s="15" t="s">
        <v>922</v>
      </c>
      <c r="N394" s="15" t="s">
        <v>1552</v>
      </c>
      <c r="O394" s="15" t="s">
        <v>1552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1550</v>
      </c>
      <c r="AG394" s="15" t="s">
        <v>1551</v>
      </c>
      <c r="AH394" s="15" t="s">
        <v>1552</v>
      </c>
      <c r="AI394" s="15" t="s">
        <v>1553</v>
      </c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hidden="1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hidden="1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hidden="1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hidden="1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hidden="1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101</v>
      </c>
      <c r="F402" s="15"/>
      <c r="G402" t="s">
        <v>1537</v>
      </c>
      <c r="H402" s="16">
        <v>41938</v>
      </c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hidden="1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>
        <v>101</v>
      </c>
      <c r="G404" t="s">
        <v>1538</v>
      </c>
      <c r="H404" s="16">
        <v>45150</v>
      </c>
      <c r="I404" s="15"/>
      <c r="J404" s="15"/>
      <c r="K404" s="13" t="str">
        <f t="shared" si="6"/>
        <v>https://en.wikipedia.org/wiki/Point_Pleasant,_New_Jersey</v>
      </c>
      <c r="L404" s="15" t="s">
        <v>1559</v>
      </c>
      <c r="M404" s="15" t="s">
        <v>946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1559</v>
      </c>
      <c r="AG404" s="15" t="s">
        <v>1560</v>
      </c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hidden="1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101</v>
      </c>
      <c r="F405" s="13"/>
      <c r="G405" t="s">
        <v>1539</v>
      </c>
      <c r="H405" s="14">
        <v>43001</v>
      </c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hidden="1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101</v>
      </c>
      <c r="F408" s="15"/>
      <c r="G408" s="15" t="s">
        <v>1586</v>
      </c>
      <c r="H408" s="16">
        <v>43281</v>
      </c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hidden="1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hidden="1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156</v>
      </c>
      <c r="F410" s="15">
        <v>183</v>
      </c>
      <c r="G410" t="s">
        <v>1491</v>
      </c>
      <c r="H410" s="16">
        <v>45388</v>
      </c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hidden="1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hidden="1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">
        <v>1446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hidden="1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">
        <v>1447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hidden="1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hidden="1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hidden="1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hidden="1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hidden="1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hidden="1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156</v>
      </c>
      <c r="F427" s="13">
        <v>159</v>
      </c>
      <c r="G427" s="13" t="s">
        <v>1581</v>
      </c>
      <c r="H427" s="14">
        <v>45284</v>
      </c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hidden="1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hidden="1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hidden="1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hidden="1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hidden="1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hidden="1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hidden="1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hidden="1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156</v>
      </c>
      <c r="F443" s="13">
        <v>209</v>
      </c>
      <c r="G443" t="s">
        <v>1492</v>
      </c>
      <c r="H443" s="14">
        <v>45478</v>
      </c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hidden="1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hidden="1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hidden="1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hidden="1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156</v>
      </c>
      <c r="F451" s="13">
        <v>278</v>
      </c>
      <c r="G451" t="s">
        <v>1540</v>
      </c>
      <c r="H451" s="14">
        <v>45860</v>
      </c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hidden="1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156</v>
      </c>
      <c r="F454" s="15">
        <v>196</v>
      </c>
      <c r="G454" t="s">
        <v>1468</v>
      </c>
      <c r="H454" s="16">
        <v>45444</v>
      </c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hidden="1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156</v>
      </c>
      <c r="F455" s="13">
        <v>192</v>
      </c>
      <c r="G455" t="s">
        <v>1541</v>
      </c>
      <c r="H455" s="14">
        <v>45416</v>
      </c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hidden="1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hidden="1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hidden="1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hidden="1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hidden="1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hidden="1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hidden="1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hidden="1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156</v>
      </c>
      <c r="F469" s="13">
        <v>165</v>
      </c>
      <c r="G469" t="s">
        <v>1542</v>
      </c>
      <c r="H469" s="14">
        <v>45297</v>
      </c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hidden="1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156</v>
      </c>
      <c r="F470" s="15">
        <v>262</v>
      </c>
      <c r="G470" t="s">
        <v>1506</v>
      </c>
      <c r="H470" s="16">
        <v>45682</v>
      </c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hidden="1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hidden="1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hidden="1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156</v>
      </c>
      <c r="F475" s="13">
        <v>143</v>
      </c>
      <c r="G475" t="s">
        <v>1507</v>
      </c>
      <c r="H475" s="14">
        <v>45254</v>
      </c>
      <c r="I475" s="13"/>
      <c r="J475" s="13"/>
      <c r="K475" s="13" t="s">
        <v>1448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">
        <v>1449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hidden="1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hidden="1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hidden="1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156</v>
      </c>
      <c r="F482" s="15">
        <v>197</v>
      </c>
      <c r="G482" t="s">
        <v>1469</v>
      </c>
      <c r="H482" s="16">
        <v>45444</v>
      </c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hidden="1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hidden="1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hidden="1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156</v>
      </c>
      <c r="F487" s="13">
        <v>136</v>
      </c>
      <c r="G487" t="s">
        <v>1479</v>
      </c>
      <c r="H487" s="14">
        <v>45235</v>
      </c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hidden="1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156</v>
      </c>
      <c r="F488" s="15">
        <v>243</v>
      </c>
      <c r="G488" t="s">
        <v>1508</v>
      </c>
      <c r="H488" s="16">
        <v>45584</v>
      </c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hidden="1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hidden="1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hidden="1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hidden="1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101</v>
      </c>
      <c r="F495" s="13"/>
      <c r="G495" t="s">
        <v>1544</v>
      </c>
      <c r="H495" s="14">
        <v>42406</v>
      </c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>
        <v>97</v>
      </c>
      <c r="G497" s="13" t="s">
        <v>1582</v>
      </c>
      <c r="H497" s="14">
        <v>45143</v>
      </c>
      <c r="I497" s="13"/>
      <c r="J497" s="13"/>
      <c r="K497" s="13" t="str">
        <f t="shared" si="7"/>
        <v>https://en.wikipedia.org/wiki/Trenton,_New_Jersey</v>
      </c>
      <c r="L497" s="13" t="s">
        <v>1588</v>
      </c>
      <c r="M497" s="13" t="s">
        <v>1151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 t="s">
        <v>1588</v>
      </c>
      <c r="AG497" s="13" t="s">
        <v>1589</v>
      </c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156</v>
      </c>
      <c r="F498" s="15">
        <v>246</v>
      </c>
      <c r="G498" t="s">
        <v>1543</v>
      </c>
      <c r="H498" s="16">
        <v>45606</v>
      </c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hidden="1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">
        <v>1450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">
        <v>1451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hidden="1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hidden="1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156</v>
      </c>
      <c r="F504" s="15">
        <v>204</v>
      </c>
      <c r="G504" t="s">
        <v>1470</v>
      </c>
      <c r="H504" s="16">
        <v>45466</v>
      </c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hidden="1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hidden="1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hidden="1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hidden="1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hidden="1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hidden="1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156</v>
      </c>
      <c r="F512" s="15">
        <v>206</v>
      </c>
      <c r="G512" t="s">
        <v>1471</v>
      </c>
      <c r="H512" s="16">
        <v>45466</v>
      </c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hidden="1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hidden="1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hidden="1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hidden="1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hidden="1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">
        <v>1452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hidden="1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156</v>
      </c>
      <c r="F522" s="15">
        <v>225</v>
      </c>
      <c r="G522" t="s">
        <v>1509</v>
      </c>
      <c r="H522" s="16">
        <v>45529</v>
      </c>
      <c r="I522" s="15"/>
      <c r="J522" s="15"/>
      <c r="K522" s="13" t="s">
        <v>1453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hidden="1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156</v>
      </c>
      <c r="F523" s="13">
        <v>135</v>
      </c>
      <c r="G523" t="s">
        <v>1480</v>
      </c>
      <c r="H523" s="14">
        <v>45235</v>
      </c>
      <c r="I523" s="13"/>
      <c r="J523" s="13"/>
      <c r="K523" s="13" t="s">
        <v>1454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">
        <v>1455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hidden="1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">
        <v>1456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">
        <v>1457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hidden="1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hidden="1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hidden="1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hidden="1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hidden="1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hidden="1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hidden="1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hidden="1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hidden="1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hidden="1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101</v>
      </c>
      <c r="F541" s="13">
        <v>98</v>
      </c>
      <c r="G541" s="13" t="s">
        <v>1587</v>
      </c>
      <c r="H541" s="14">
        <v>44870</v>
      </c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hidden="1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156</v>
      </c>
      <c r="F542" s="15">
        <v>270</v>
      </c>
      <c r="G542" t="s">
        <v>1510</v>
      </c>
      <c r="H542" s="16">
        <v>45782</v>
      </c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hidden="1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hidden="1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hidden="1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hidden="1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hidden="1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hidden="1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hidden="1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>
        <v>88</v>
      </c>
      <c r="G551" t="s">
        <v>1511</v>
      </c>
      <c r="H551" s="14">
        <v>45116</v>
      </c>
      <c r="I551" s="13"/>
      <c r="J551" s="13"/>
      <c r="K551" s="13" t="str">
        <f t="shared" si="8"/>
        <v>https://en.wikipedia.org/wiki/Willingboro_Township,_New_Jersey</v>
      </c>
      <c r="L551" s="13" t="s">
        <v>1519</v>
      </c>
      <c r="M551" s="13" t="s">
        <v>1264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1519</v>
      </c>
      <c r="AG551" s="13" t="s">
        <v>1520</v>
      </c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hidden="1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hidden="1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hidden="1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156</v>
      </c>
      <c r="F557" s="13">
        <v>187</v>
      </c>
      <c r="G557" t="s">
        <v>1481</v>
      </c>
      <c r="H557" s="14">
        <v>45396</v>
      </c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156</v>
      </c>
      <c r="F558" s="15">
        <v>280</v>
      </c>
      <c r="G558" t="s">
        <v>1482</v>
      </c>
      <c r="H558" s="16">
        <v>45937</v>
      </c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hidden="1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hidden="1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156</v>
      </c>
      <c r="F560" s="15">
        <v>242</v>
      </c>
      <c r="G560" t="s">
        <v>1512</v>
      </c>
      <c r="H560" s="16">
        <v>45584</v>
      </c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hidden="1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hidden="1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156</v>
      </c>
      <c r="F562" s="15">
        <v>268</v>
      </c>
      <c r="G562" s="15" t="s">
        <v>1569</v>
      </c>
      <c r="H562" s="83" t="s">
        <v>1577</v>
      </c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hidden="1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156</v>
      </c>
      <c r="F563" s="13">
        <v>221</v>
      </c>
      <c r="G563" t="s">
        <v>1493</v>
      </c>
      <c r="H563" s="14">
        <v>45521</v>
      </c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156</v>
      </c>
      <c r="F564" s="15">
        <v>157</v>
      </c>
      <c r="G564" t="s">
        <v>1483</v>
      </c>
      <c r="H564" s="16">
        <v>45283</v>
      </c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hidden="1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hidden="1" x14ac:dyDescent="0.2">
      <c r="H567" s="17"/>
    </row>
    <row r="568" spans="1:47" hidden="1" x14ac:dyDescent="0.2">
      <c r="H568" s="17"/>
    </row>
    <row r="569" spans="1:47" hidden="1" x14ac:dyDescent="0.2">
      <c r="H569" s="17"/>
    </row>
    <row r="570" spans="1:47" hidden="1" x14ac:dyDescent="0.2">
      <c r="H570" s="17"/>
    </row>
    <row r="571" spans="1:47" hidden="1" x14ac:dyDescent="0.2">
      <c r="H571" s="17"/>
    </row>
    <row r="572" spans="1:47" hidden="1" x14ac:dyDescent="0.2">
      <c r="H572" s="17"/>
    </row>
    <row r="573" spans="1:47" hidden="1" x14ac:dyDescent="0.2">
      <c r="H573" s="17"/>
    </row>
    <row r="574" spans="1:47" hidden="1" x14ac:dyDescent="0.2">
      <c r="H574" s="17"/>
    </row>
    <row r="575" spans="1:47" hidden="1" x14ac:dyDescent="0.2">
      <c r="H575" s="17"/>
    </row>
    <row r="576" spans="1:47" hidden="1" x14ac:dyDescent="0.2">
      <c r="H576" s="17"/>
    </row>
    <row r="577" spans="8:8" hidden="1" x14ac:dyDescent="0.2">
      <c r="H577" s="17"/>
    </row>
    <row r="578" spans="8:8" hidden="1" x14ac:dyDescent="0.2">
      <c r="H578" s="17"/>
    </row>
    <row r="579" spans="8:8" hidden="1" x14ac:dyDescent="0.2">
      <c r="H579" s="17"/>
    </row>
    <row r="580" spans="8:8" hidden="1" x14ac:dyDescent="0.2">
      <c r="H580" s="17"/>
    </row>
    <row r="581" spans="8:8" hidden="1" x14ac:dyDescent="0.2">
      <c r="H581" s="17"/>
    </row>
    <row r="582" spans="8:8" hidden="1" x14ac:dyDescent="0.2">
      <c r="H582" s="17"/>
    </row>
    <row r="583" spans="8:8" hidden="1" x14ac:dyDescent="0.2">
      <c r="H583" s="17"/>
    </row>
    <row r="584" spans="8:8" hidden="1" x14ac:dyDescent="0.2">
      <c r="H584" s="17"/>
    </row>
    <row r="585" spans="8:8" hidden="1" x14ac:dyDescent="0.2">
      <c r="H585" s="17"/>
    </row>
    <row r="586" spans="8:8" hidden="1" x14ac:dyDescent="0.2">
      <c r="H586" s="17"/>
    </row>
    <row r="587" spans="8:8" hidden="1" x14ac:dyDescent="0.2">
      <c r="H587" s="17"/>
    </row>
    <row r="588" spans="8:8" hidden="1" x14ac:dyDescent="0.2">
      <c r="H588" s="17"/>
    </row>
    <row r="589" spans="8:8" hidden="1" x14ac:dyDescent="0.2">
      <c r="H589" s="17"/>
    </row>
    <row r="590" spans="8:8" hidden="1" x14ac:dyDescent="0.2">
      <c r="H590" s="17"/>
    </row>
    <row r="591" spans="8:8" hidden="1" x14ac:dyDescent="0.2">
      <c r="H591" s="17"/>
    </row>
    <row r="592" spans="8:8" hidden="1" x14ac:dyDescent="0.2">
      <c r="H592" s="17"/>
    </row>
    <row r="593" spans="8:8" hidden="1" x14ac:dyDescent="0.2">
      <c r="H593" s="17"/>
    </row>
    <row r="594" spans="8:8" hidden="1" x14ac:dyDescent="0.2">
      <c r="H594" s="17"/>
    </row>
    <row r="595" spans="8:8" hidden="1" x14ac:dyDescent="0.2">
      <c r="H595" s="17"/>
    </row>
    <row r="596" spans="8:8" hidden="1" x14ac:dyDescent="0.2">
      <c r="H596" s="17"/>
    </row>
    <row r="597" spans="8:8" hidden="1" x14ac:dyDescent="0.2">
      <c r="H597" s="17"/>
    </row>
    <row r="598" spans="8:8" hidden="1" x14ac:dyDescent="0.2">
      <c r="H598" s="17"/>
    </row>
    <row r="599" spans="8:8" hidden="1" x14ac:dyDescent="0.2">
      <c r="H599" s="17"/>
    </row>
    <row r="600" spans="8:8" hidden="1" x14ac:dyDescent="0.2">
      <c r="H600" s="17"/>
    </row>
    <row r="601" spans="8:8" hidden="1" x14ac:dyDescent="0.2">
      <c r="H601" s="17"/>
    </row>
    <row r="602" spans="8:8" hidden="1" x14ac:dyDescent="0.2">
      <c r="H602" s="17"/>
    </row>
  </sheetData>
  <autoFilter ref="A2:AU602" xr:uid="{00000000-0009-0000-0000-000000000000}">
    <filterColumn colId="1">
      <filters>
        <filter val="Mercer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9" t="s">
        <v>1295</v>
      </c>
      <c r="B1" s="80"/>
      <c r="C1" s="80"/>
      <c r="D1" s="80"/>
      <c r="E1" s="80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143</v>
      </c>
      <c r="C3" s="24">
        <f>A3-B3</f>
        <v>421</v>
      </c>
      <c r="D3" s="25" t="str">
        <f>IF(A3&gt;0,TEXT(B3/A3,"0.0%"),"0.0%")</f>
        <v>25.4%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19</v>
      </c>
      <c r="D8" s="28">
        <f t="shared" si="0"/>
        <v>21</v>
      </c>
      <c r="E8" s="28" t="str">
        <f t="shared" si="1"/>
        <v>47.5%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10</v>
      </c>
      <c r="D16" s="28">
        <f t="shared" si="0"/>
        <v>2</v>
      </c>
      <c r="E16" s="28" t="str">
        <f t="shared" si="1"/>
        <v>83.3%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19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queued</v>
      </c>
      <c r="F8">
        <v>130</v>
      </c>
      <c r="G8" t="str">
        <v>Marcello's</v>
      </c>
      <c r="H8">
        <v>45221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>
        <v>0</v>
      </c>
      <c r="J21">
        <v>0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>
        <v>0</v>
      </c>
      <c r="J28">
        <v>0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>
        <v>0</v>
      </c>
      <c r="J43">
        <v>0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 t="str">
        <v>2025-12-31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 t="str">
        <v>2025-06-16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 t="str">
        <v>2023-11-05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 t="str">
        <v>2025-06-16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 t="str">
        <v>2025-10-07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 t="str">
        <v>2024-12-28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 t="str">
        <v>2026-03-06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 t="str">
        <v>2025-05-05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 t="str">
        <v>2025-04-21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1298</v>
      </c>
      <c r="F2" s="33">
        <f>B2-D2</f>
        <v>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1298</v>
      </c>
      <c r="F2" s="33">
        <f>B2-D2</f>
        <v>14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1309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https://en.wikipedia.org/wiki/Raritan_Township,_Hunterdon_County,_New_Jersey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10</v>
      </c>
      <c r="E2" s="20" t="s">
        <v>1298</v>
      </c>
      <c r="F2" s="33">
        <f>B2-D2</f>
        <v>2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pre-challenge</v>
      </c>
      <c r="F6">
        <v>0</v>
      </c>
      <c r="G6" t="str">
        <v>Friend's Halloween Party</v>
      </c>
      <c r="H6">
        <v>43400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pre-challenge</v>
      </c>
      <c r="F8">
        <v>0</v>
      </c>
      <c r="G8" t="str">
        <v>Ratz</v>
      </c>
      <c r="H8">
        <v>42547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queued</v>
      </c>
      <c r="F9">
        <v>150</v>
      </c>
      <c r="G9" t="str">
        <v>Tavern on the Lake</v>
      </c>
      <c r="H9">
        <v>45263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queued</v>
      </c>
      <c r="F11">
        <v>151</v>
      </c>
      <c r="G11" t="str">
        <v>Wildflowers Inn</v>
      </c>
      <c r="H11">
        <v>45268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queued</v>
      </c>
      <c r="F12">
        <v>129</v>
      </c>
      <c r="G12" t="str">
        <v>Route 1 Diner</v>
      </c>
      <c r="H12">
        <v>45221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queued</v>
      </c>
      <c r="F13">
        <v>152</v>
      </c>
      <c r="G13" t="str">
        <v>Vito's Pizza</v>
      </c>
      <c r="H13">
        <v>45268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pre-challenge</v>
      </c>
      <c r="F14">
        <v>0</v>
      </c>
      <c r="G14" t="str">
        <v>Nomad Pizza</v>
      </c>
      <c r="H14">
        <v>43281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queued</v>
      </c>
      <c r="F15">
        <v>159</v>
      </c>
      <c r="G15" t="str">
        <v>Papa's Tomato Pies</v>
      </c>
      <c r="H15">
        <v>45284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97</v>
      </c>
      <c r="G16" t="str">
        <v>Cooper's Riverview</v>
      </c>
      <c r="H16">
        <v>45143</v>
      </c>
      <c r="I16">
        <v>0</v>
      </c>
      <c r="J16">
        <v>0</v>
      </c>
      <c r="K16" t="str">
        <v>https://en.wikipedia.org/wiki/Trenton,_New_Jersey</v>
      </c>
      <c r="L16" t="str">
        <v>NJ Town #97: Trenton</v>
      </c>
      <c r="M16" t="str">
        <v>https://www.instagram.com/p/DEyDW4nxqnD/?img_index=1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tr">
        <v>NJ Town #97: Trenton</v>
      </c>
      <c r="AG16" t="str">
        <v>https://www.facebook.com/permalink.php?story_fbid=pfbid0342hV1CwqKyY46gYLJn5CtCiPhrWvHBiJVRGfxSj6Mw5LkwJfioKeyaga3XZFRuEUl&amp;id=61569640546791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pre-challenge</v>
      </c>
      <c r="F17">
        <v>98</v>
      </c>
      <c r="G17" t="str">
        <v>Penang</v>
      </c>
      <c r="H17">
        <v>44870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 t="str">
        <v>B-Unos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1298</v>
      </c>
      <c r="F2" s="33">
        <f>B2-D2</f>
        <v>9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>
        <v>0</v>
      </c>
      <c r="J10">
        <v>0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>
        <v>0</v>
      </c>
      <c r="J17">
        <v>0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>
        <v>0</v>
      </c>
      <c r="J18">
        <v>0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>
        <v>0</v>
      </c>
      <c r="J29">
        <v>0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1298</v>
      </c>
      <c r="F2" s="33">
        <f>B2-D2</f>
        <v>5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1318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1319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1320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1" t="s">
        <v>1321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9" t="s">
        <v>0</v>
      </c>
      <c r="B4" s="70"/>
      <c r="C4" s="70"/>
      <c r="D4" s="68"/>
      <c r="E4" s="73" t="s">
        <v>1</v>
      </c>
      <c r="F4" s="70"/>
      <c r="G4" s="70"/>
      <c r="H4" s="68"/>
      <c r="I4" s="67" t="s">
        <v>2</v>
      </c>
      <c r="J4" s="68"/>
      <c r="K4" s="1" t="s">
        <v>3</v>
      </c>
      <c r="L4" s="76" t="s">
        <v>4</v>
      </c>
      <c r="M4" s="70"/>
      <c r="N4" s="70"/>
      <c r="O4" s="68"/>
      <c r="P4" s="77" t="s">
        <v>5</v>
      </c>
      <c r="Q4" s="70"/>
      <c r="R4" s="70"/>
      <c r="S4" s="68"/>
      <c r="T4" s="78" t="s">
        <v>6</v>
      </c>
      <c r="U4" s="70"/>
      <c r="V4" s="70"/>
      <c r="W4" s="68"/>
      <c r="X4" s="72" t="s">
        <v>7</v>
      </c>
      <c r="Y4" s="70"/>
      <c r="Z4" s="70"/>
      <c r="AA4" s="68"/>
      <c r="AB4" s="74" t="s">
        <v>8</v>
      </c>
      <c r="AC4" s="70"/>
      <c r="AD4" s="70"/>
      <c r="AE4" s="68"/>
      <c r="AF4" s="75" t="s">
        <v>9</v>
      </c>
      <c r="AG4" s="70"/>
      <c r="AH4" s="70"/>
      <c r="AI4" s="68"/>
      <c r="AJ4" s="71" t="s">
        <v>10</v>
      </c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68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2" t="s">
        <v>1322</v>
      </c>
      <c r="B2" s="80"/>
      <c r="C2" s="80"/>
    </row>
    <row r="4" spans="1:3" ht="20" customHeight="1" x14ac:dyDescent="0.2">
      <c r="A4" s="82" t="s">
        <v>1323</v>
      </c>
      <c r="B4" s="80"/>
      <c r="C4" s="80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2" t="s">
        <v>1328</v>
      </c>
      <c r="B10" s="80"/>
      <c r="C10" s="80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2" t="s">
        <v>1340</v>
      </c>
      <c r="B18" s="80"/>
      <c r="C18" s="80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2" t="s">
        <v>1392</v>
      </c>
      <c r="B67" s="80"/>
      <c r="C67" s="80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2026-04-07T03:07:53Z</dcterms:modified>
</cp:coreProperties>
</file>